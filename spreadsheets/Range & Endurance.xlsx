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y of 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<sst xmlns="http://schemas.openxmlformats.org/spreadsheetml/2006/main" count="106" uniqueCount="23">
  <si>
    <t xml:space="preserve">Note:</t>
  </si>
  <si>
    <t xml:space="preserve">Range and Endurance do not include 45 minute fuel reserve.</t>
  </si>
  <si>
    <t xml:space="preserve">Heavy, Aft CG - weight: 1550lb, CG: 14.24"</t>
  </si>
  <si>
    <t xml:space="preserve">Range and Endurance do not include 45 minute fuel reserve. Assume 6,000' MSL and no wind.</t>
  </si>
  <si>
    <t xml:space="preserve">Heavy, Aft CG - weight: 1550lb, CG: 14.24" @4000' 2025-05-25</t>
  </si>
  <si>
    <t xml:space="preserve">Altitude (MSL):</t>
  </si>
  <si>
    <t xml:space="preserve">Power %</t>
  </si>
  <si>
    <t xml:space="preserve">Fuel Flow</t>
  </si>
  <si>
    <t xml:space="preserve">TAS (kts)</t>
  </si>
  <si>
    <t xml:space="preserve">TAS (mph)</t>
  </si>
  <si>
    <t xml:space="preserve">MPG</t>
  </si>
  <si>
    <t xml:space="preserve">Range (miles)</t>
  </si>
  <si>
    <t xml:space="preserve">Endurance (hrs)</t>
  </si>
  <si>
    <t xml:space="preserve">Time to travel 1,200mi (hrs)
</t>
  </si>
  <si>
    <t xml:space="preserve">Num of stops</t>
  </si>
  <si>
    <t xml:space="preserve">Heavy, Fwd CG - weight: 1550lbs, CG: 12.84"</t>
  </si>
  <si>
    <t xml:space="preserve">Heavy, Fwd CG - weight: 1550lbs, CG: 12.84" @6100' 2025-04-05</t>
  </si>
  <si>
    <t xml:space="preserve">Light, Aft CG - weight: 1286lbs, CG: 14.11"</t>
  </si>
  <si>
    <t xml:space="preserve">Light, Aft CG - weight: 1286lbs, 14.11"</t>
  </si>
  <si>
    <t xml:space="preserve">Light, Aft CG - weight: 1286lbs, 14.11" @8000' 2025-05-28</t>
  </si>
  <si>
    <t xml:space="preserve">Light, Fwd CG - weight: 1286lbs, CG: 11.65"</t>
  </si>
  <si>
    <t xml:space="preserve">Light, Fwd CG - weight: 1286lbs, 11.65" @8000' 2025-05-28</t>
  </si>
  <si>
    <t xml:space="preserve">Light, Fwd CG - weight: 1286lbs, 11.65"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</si>
</sst>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3F3F3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7.88"/>
    <col collapsed="false" customWidth="true" hidden="false" outlineLevel="0" max="3" min="3" style="0" width="8.88"/>
    <col collapsed="false" customWidth="true" hidden="false" outlineLevel="0" max="4" min="4" style="0" width="8.38"/>
    <col collapsed="false" customWidth="true" hidden="false" outlineLevel="0" max="5" min="5" style="0" width="11.38"/>
    <col collapsed="false" customWidth="true" hidden="false" outlineLevel="0" max="6" min="6" style="0" width="9"/>
    <col collapsed="false" customWidth="true" hidden="false" outlineLevel="0" max="8" min="8" style="0" width="13.63"/>
    <col collapsed="false" customWidth="true" hidden="false" outlineLevel="0" max="9" min="9" style="0" width="4.38"/>
    <col collapsed="false" customWidth="true" hidden="false" outlineLevel="0" max="10" min="10" style="0" width="5"/>
    <col collapsed="false" customWidth="true" hidden="false" outlineLevel="0" max="11" min="11" style="0" width="9"/>
    <col collapsed="false" customWidth="true" hidden="false" outlineLevel="0" max="12" min="12" style="0" width="13.5"/>
    <col collapsed="false" customWidth="true" hidden="false" outlineLevel="0" max="21" min="13" style="0" width="9.51"/>
    <col collapsed="false" customWidth="true" hidden="false" outlineLevel="0" max="22" min="22" style="0" width="6.12"/>
    <col collapsed="false" customWidth="true" hidden="false" outlineLevel="0" max="24" min="23" style="0" width="8.63"/>
    <col collapsed="false" customWidth="true" hidden="false" outlineLevel="0" max="26" min="26" style="0" width="13.25"/>
    <col collapsed="false" customWidth="true" hidden="false" outlineLevel="0" max="33" min="28" style="0" width="7.88"/>
  </cols>
  <sheetData>
    <row r="1" customFormat="false" ht="15.75" hidden="false" customHeight="false" outlineLevel="0" collapsed="false">
      <c r="A1" s="1"/>
      <c r="B1" s="1"/>
      <c r="C1" s="2"/>
      <c r="D1" s="3"/>
      <c r="E1" s="4"/>
      <c r="F1" s="4"/>
      <c r="G1" s="5"/>
      <c r="H1" s="6"/>
      <c r="N1" s="7"/>
      <c r="W1" s="4"/>
      <c r="X1" s="4"/>
      <c r="Z1" s="7"/>
      <c r="AA1" s="4"/>
      <c r="AB1" s="8"/>
      <c r="AC1" s="8"/>
      <c r="AD1" s="8"/>
      <c r="AE1" s="8"/>
      <c r="AF1" s="8"/>
      <c r="AG1" s="8"/>
    </row>
    <row r="2" customFormat="false" ht="15.75" hidden="false" customHeight="false" outlineLevel="0" collapsed="false">
      <c r="A2" s="1"/>
      <c r="B2" s="1"/>
      <c r="C2" s="2"/>
      <c r="D2" s="3"/>
      <c r="E2" s="4"/>
      <c r="F2" s="4"/>
      <c r="G2" s="5"/>
      <c r="H2" s="6"/>
      <c r="N2" s="7"/>
      <c r="W2" s="4"/>
      <c r="X2" s="4"/>
      <c r="Z2" s="7"/>
      <c r="AA2" s="4"/>
      <c r="AB2" s="3"/>
      <c r="AC2" s="3"/>
      <c r="AD2" s="3"/>
      <c r="AE2" s="3"/>
      <c r="AF2" s="3"/>
      <c r="AG2" s="3"/>
    </row>
    <row r="3" customFormat="false" ht="15.75" hidden="false" customHeight="false" outlineLevel="0" collapsed="false">
      <c r="A3" s="1"/>
      <c r="B3" s="1"/>
      <c r="C3" s="2"/>
      <c r="D3" s="3"/>
      <c r="E3" s="4"/>
      <c r="F3" s="4"/>
      <c r="G3" s="5"/>
      <c r="H3" s="6"/>
      <c r="N3" s="7"/>
      <c r="W3" s="4"/>
      <c r="X3" s="4"/>
      <c r="Z3" s="7"/>
      <c r="AA3" s="4"/>
      <c r="AB3" s="3"/>
      <c r="AC3" s="3"/>
      <c r="AD3" s="3"/>
      <c r="AE3" s="3"/>
      <c r="AF3" s="3"/>
      <c r="AG3" s="3"/>
    </row>
    <row r="4" customFormat="false" ht="15.75" hidden="false" customHeight="false" outlineLevel="0" collapsed="false">
      <c r="A4" s="1"/>
      <c r="B4" s="1"/>
      <c r="C4" s="2"/>
      <c r="D4" s="3"/>
      <c r="E4" s="4"/>
      <c r="F4" s="4"/>
      <c r="G4" s="5"/>
      <c r="H4" s="6"/>
      <c r="N4" s="7"/>
      <c r="W4" s="4"/>
      <c r="X4" s="4"/>
      <c r="Z4" s="7"/>
      <c r="AA4" s="4"/>
      <c r="AB4" s="3"/>
      <c r="AC4" s="3"/>
      <c r="AD4" s="3"/>
      <c r="AE4" s="3"/>
      <c r="AF4" s="3"/>
      <c r="AG4" s="3"/>
    </row>
    <row r="5" customFormat="false" ht="15.75" hidden="false" customHeight="false" outlineLevel="0" collapsed="false">
      <c r="A5" s="1"/>
      <c r="B5" s="1" t="s">
        <v>0</v>
      </c>
      <c r="C5" s="2" t="s">
        <v>1</v>
      </c>
      <c r="D5" s="3"/>
      <c r="E5" s="4"/>
      <c r="F5" s="4"/>
      <c r="G5" s="5"/>
      <c r="H5" s="6"/>
      <c r="J5" s="9"/>
      <c r="K5" s="10" t="s">
        <v>2</v>
      </c>
      <c r="L5" s="10"/>
      <c r="M5" s="10"/>
      <c r="N5" s="10"/>
      <c r="O5" s="10"/>
      <c r="P5" s="10"/>
      <c r="Q5" s="10"/>
      <c r="R5" s="10"/>
      <c r="S5" s="10"/>
      <c r="T5" s="10"/>
      <c r="U5" s="10"/>
      <c r="W5" s="11" t="s">
        <v>0</v>
      </c>
      <c r="X5" s="12" t="s">
        <v>3</v>
      </c>
      <c r="Z5" s="4"/>
      <c r="AA5" s="3"/>
      <c r="AC5" s="13"/>
    </row>
    <row r="6" customFormat="false" ht="26.85" hidden="false" customHeight="false" outlineLevel="0" collapsed="false">
      <c r="A6" s="11"/>
      <c r="B6" s="11" t="s">
        <v>4</v>
      </c>
      <c r="C6" s="3"/>
      <c r="D6" s="3"/>
      <c r="E6" s="4"/>
      <c r="F6" s="4"/>
      <c r="G6" s="5"/>
      <c r="H6" s="6"/>
      <c r="K6" s="14"/>
      <c r="L6" s="15" t="s">
        <v>5</v>
      </c>
      <c r="M6" s="16" t="n">
        <v>0</v>
      </c>
      <c r="N6" s="13" t="n">
        <v>2000</v>
      </c>
      <c r="O6" s="13" t="n">
        <v>4000</v>
      </c>
      <c r="P6" s="13" t="n">
        <v>6000</v>
      </c>
      <c r="Q6" s="13" t="n">
        <v>8000</v>
      </c>
      <c r="R6" s="13" t="n">
        <v>10000</v>
      </c>
      <c r="S6" s="13" t="n">
        <v>12000</v>
      </c>
      <c r="T6" s="13" t="n">
        <v>14000</v>
      </c>
      <c r="U6" s="17" t="n">
        <v>16000</v>
      </c>
      <c r="W6" s="11" t="s">
        <v>2</v>
      </c>
      <c r="X6" s="18"/>
      <c r="Z6" s="7"/>
      <c r="AC6" s="19"/>
    </row>
    <row r="7" customFormat="false" ht="16.5" hidden="false" customHeight="true" outlineLevel="0" collapsed="false">
      <c r="A7" s="3"/>
      <c r="B7" s="3" t="s">
        <v>6</v>
      </c>
      <c r="C7" s="3" t="s">
        <v>7</v>
      </c>
      <c r="D7" s="3" t="s">
        <v>8</v>
      </c>
      <c r="E7" s="4" t="s">
        <v>9</v>
      </c>
      <c r="F7" s="4" t="s">
        <v>10</v>
      </c>
      <c r="G7" s="5" t="s">
        <v>11</v>
      </c>
      <c r="H7" s="6" t="s">
        <v>12</v>
      </c>
      <c r="K7" s="20" t="s">
        <v>6</v>
      </c>
      <c r="L7" s="13" t="s">
        <v>7</v>
      </c>
      <c r="M7" s="19" t="s">
        <v>9</v>
      </c>
      <c r="N7" s="19" t="s">
        <v>9</v>
      </c>
      <c r="O7" s="19" t="s">
        <v>9</v>
      </c>
      <c r="P7" s="19" t="s">
        <v>9</v>
      </c>
      <c r="Q7" s="19" t="s">
        <v>9</v>
      </c>
      <c r="R7" s="19" t="s">
        <v>9</v>
      </c>
      <c r="S7" s="19" t="s">
        <v>9</v>
      </c>
      <c r="T7" s="19" t="s">
        <v>9</v>
      </c>
      <c r="U7" s="21" t="s">
        <v>9</v>
      </c>
      <c r="V7" s="22"/>
      <c r="W7" s="23" t="s">
        <v>6</v>
      </c>
      <c r="X7" s="24" t="s">
        <v>10</v>
      </c>
      <c r="Y7" s="25" t="s">
        <v>11</v>
      </c>
      <c r="Z7" s="24" t="s">
        <v>12</v>
      </c>
      <c r="AA7" s="19" t="s">
        <v>13</v>
      </c>
      <c r="AB7" s="13" t="s">
        <v>14</v>
      </c>
      <c r="AC7" s="4"/>
    </row>
    <row r="8" customFormat="false" ht="15.75" hidden="false" customHeight="false" outlineLevel="0" collapsed="false">
      <c r="A8" s="3"/>
      <c r="B8" s="26" t="n">
        <v>97</v>
      </c>
      <c r="C8" s="26" t="n">
        <v>10.8</v>
      </c>
      <c r="D8" s="26" t="n">
        <v>112</v>
      </c>
      <c r="E8" s="4" t="n">
        <f aca="false">D8*1.15</f>
        <v>128.8</v>
      </c>
      <c r="F8" s="4" t="n">
        <f aca="false">E8/C8</f>
        <v>11.9259259259259</v>
      </c>
      <c r="G8" s="5" t="n">
        <f aca="false">((27-C8*0.75)/C8)*E8</f>
        <v>225.4</v>
      </c>
      <c r="H8" s="6" t="n">
        <f aca="false">G8/E8</f>
        <v>1.75</v>
      </c>
      <c r="K8" s="27" t="n">
        <f aca="false">B8</f>
        <v>97</v>
      </c>
      <c r="L8" s="3" t="n">
        <f aca="false">C8</f>
        <v>10.8</v>
      </c>
      <c r="M8" s="4" t="n">
        <f aca="false">E8*(1-0.02)^4</f>
        <v>118.801019008</v>
      </c>
      <c r="N8" s="4" t="n">
        <f aca="false">$M8*(1.02)^(N$6/1000)</f>
        <v>123.600580175923</v>
      </c>
      <c r="O8" s="4" t="n">
        <f aca="false">$M8*(1.02)^(O$6/1000)</f>
        <v>128.59404361503</v>
      </c>
      <c r="P8" s="4" t="n">
        <f aca="false">$M8*(1.02)^(P$6/1000)</f>
        <v>133.789242977078</v>
      </c>
      <c r="Q8" s="4" t="n">
        <f aca="false">$M8*(1.02)^(Q$6/1000)</f>
        <v>139.194328393352</v>
      </c>
      <c r="R8" s="4" t="n">
        <f aca="false">$M8*(1.02)^(R$6/1000)</f>
        <v>144.817779260443</v>
      </c>
      <c r="S8" s="4" t="n">
        <f aca="false">$M8*(1.02)^(S$6/1000)</f>
        <v>150.668417542565</v>
      </c>
      <c r="T8" s="4" t="n">
        <f aca="false">$M8*(1.02)^(T$6/1000)</f>
        <v>156.755421611285</v>
      </c>
      <c r="U8" s="28" t="n">
        <f aca="false">$M8*(1.02)^(U$6/1000)</f>
        <v>163.08834064438</v>
      </c>
      <c r="W8" s="3" t="n">
        <f aca="false">B8</f>
        <v>97</v>
      </c>
      <c r="X8" s="4" t="n">
        <f aca="false">P8/L8</f>
        <v>12.3878928682479</v>
      </c>
      <c r="Y8" s="5" t="n">
        <f aca="false">((27-L8*0.75)/L8)*P8</f>
        <v>234.131175209886</v>
      </c>
      <c r="Z8" s="4" t="n">
        <f aca="false">Y8/P8</f>
        <v>1.75</v>
      </c>
      <c r="AA8" s="4" t="n">
        <f aca="false">ROUNDDOWN(1200/Y8,0)*0.5+1200/P8</f>
        <v>11.4693309663588</v>
      </c>
      <c r="AB8" s="3" t="n">
        <f aca="false">ROUNDDOWN(1200/Y8,0)</f>
        <v>5</v>
      </c>
      <c r="AC8" s="4"/>
    </row>
    <row r="9" customFormat="false" ht="15.75" hidden="false" customHeight="false" outlineLevel="0" collapsed="false">
      <c r="A9" s="3"/>
      <c r="B9" s="26" t="n">
        <v>90</v>
      </c>
      <c r="C9" s="26" t="n">
        <v>9.9</v>
      </c>
      <c r="D9" s="26" t="n">
        <v>109</v>
      </c>
      <c r="E9" s="4" t="n">
        <f aca="false">D9*1.15</f>
        <v>125.35</v>
      </c>
      <c r="F9" s="4" t="n">
        <f aca="false">E9/C9</f>
        <v>12.6616161616162</v>
      </c>
      <c r="G9" s="5" t="n">
        <f aca="false">((27-C9*0.75)/C9)*E9</f>
        <v>247.851136363636</v>
      </c>
      <c r="H9" s="6" t="n">
        <f aca="false">G9/E9</f>
        <v>1.97727272727273</v>
      </c>
      <c r="K9" s="27" t="n">
        <f aca="false">B9</f>
        <v>90</v>
      </c>
      <c r="L9" s="3" t="n">
        <f aca="false">C9</f>
        <v>9.9</v>
      </c>
      <c r="M9" s="4" t="n">
        <f aca="false">E9*(1-0.02)^4</f>
        <v>115.618848856</v>
      </c>
      <c r="N9" s="4" t="n">
        <f aca="false">$M9*(1.02)^(N$6/1000)</f>
        <v>120.289850349782</v>
      </c>
      <c r="O9" s="4" t="n">
        <f aca="false">$M9*(1.02)^(O$6/1000)</f>
        <v>125.149560303914</v>
      </c>
      <c r="P9" s="4" t="n">
        <f aca="false">$M9*(1.02)^(P$6/1000)</f>
        <v>130.205602540192</v>
      </c>
      <c r="Q9" s="4" t="n">
        <f aca="false">$M9*(1.02)^(Q$6/1000)</f>
        <v>135.465908882815</v>
      </c>
      <c r="R9" s="4" t="n">
        <f aca="false">$M9*(1.02)^(R$6/1000)</f>
        <v>140.938731601681</v>
      </c>
      <c r="S9" s="4" t="n">
        <f aca="false">$M9*(1.02)^(S$6/1000)</f>
        <v>146.632656358389</v>
      </c>
      <c r="T9" s="4" t="n">
        <f aca="false">$M9*(1.02)^(T$6/1000)</f>
        <v>152.556615675268</v>
      </c>
      <c r="U9" s="28" t="n">
        <f aca="false">$M9*(1.02)^(U$6/1000)</f>
        <v>158.719902948549</v>
      </c>
      <c r="W9" s="3" t="n">
        <f aca="false">B9</f>
        <v>90</v>
      </c>
      <c r="X9" s="4" t="n">
        <f aca="false">P9/L9</f>
        <v>13.1520810646658</v>
      </c>
      <c r="Y9" s="5" t="n">
        <f aca="false">((27-L9*0.75)/L9)*P9</f>
        <v>257.451986840834</v>
      </c>
      <c r="Z9" s="4" t="n">
        <f aca="false">Y9/P9</f>
        <v>1.97727272727273</v>
      </c>
      <c r="AA9" s="4" t="n">
        <f aca="false">ROUNDDOWN(1200/Y9,0)*0.5+1200/P9</f>
        <v>11.2161932865338</v>
      </c>
      <c r="AB9" s="3" t="n">
        <f aca="false">ROUNDDOWN(1200/Y9,0)</f>
        <v>4</v>
      </c>
      <c r="AC9" s="4"/>
    </row>
    <row r="10" customFormat="false" ht="15.75" hidden="false" customHeight="false" outlineLevel="0" collapsed="false">
      <c r="A10" s="3"/>
      <c r="B10" s="26" t="n">
        <v>80</v>
      </c>
      <c r="C10" s="26" t="n">
        <v>7.9</v>
      </c>
      <c r="D10" s="26" t="n">
        <v>105</v>
      </c>
      <c r="E10" s="4" t="n">
        <f aca="false">D10*1.15</f>
        <v>120.75</v>
      </c>
      <c r="F10" s="4" t="n">
        <f aca="false">E10/C10</f>
        <v>15.2848101265823</v>
      </c>
      <c r="G10" s="5" t="n">
        <f aca="false">((27-C10*0.75)/C10)*E10</f>
        <v>322.127373417721</v>
      </c>
      <c r="H10" s="6" t="n">
        <f aca="false">G10/E10</f>
        <v>2.66772151898734</v>
      </c>
      <c r="K10" s="27" t="n">
        <f aca="false">B10</f>
        <v>80</v>
      </c>
      <c r="L10" s="3" t="n">
        <f aca="false">C10</f>
        <v>7.9</v>
      </c>
      <c r="M10" s="4" t="n">
        <f aca="false">E10*(1-0.02)^4</f>
        <v>111.37595532</v>
      </c>
      <c r="N10" s="4" t="n">
        <f aca="false">$M10*(1.02)^(N$6/1000)</f>
        <v>115.875543914928</v>
      </c>
      <c r="O10" s="4" t="n">
        <f aca="false">$M10*(1.02)^(O$6/1000)</f>
        <v>120.556915889091</v>
      </c>
      <c r="P10" s="4" t="n">
        <f aca="false">$M10*(1.02)^(P$6/1000)</f>
        <v>125.42741529101</v>
      </c>
      <c r="Q10" s="4" t="n">
        <f aca="false">$M10*(1.02)^(Q$6/1000)</f>
        <v>130.494682868767</v>
      </c>
      <c r="R10" s="4" t="n">
        <f aca="false">$M10*(1.02)^(R$6/1000)</f>
        <v>135.766668056665</v>
      </c>
      <c r="S10" s="4" t="n">
        <f aca="false">$M10*(1.02)^(S$6/1000)</f>
        <v>141.251641446155</v>
      </c>
      <c r="T10" s="4" t="n">
        <f aca="false">$M10*(1.02)^(T$6/1000)</f>
        <v>146.958207760579</v>
      </c>
      <c r="U10" s="28" t="n">
        <f aca="false">$M10*(1.02)^(U$6/1000)</f>
        <v>152.895319354107</v>
      </c>
      <c r="W10" s="3" t="n">
        <f aca="false">B10</f>
        <v>80</v>
      </c>
      <c r="X10" s="4" t="n">
        <f aca="false">P10/L10</f>
        <v>15.8768880115203</v>
      </c>
      <c r="Y10" s="5" t="n">
        <f aca="false">((27-L10*0.75)/L10)*P10</f>
        <v>334.60541484279</v>
      </c>
      <c r="Z10" s="4" t="n">
        <f aca="false">Y10/P10</f>
        <v>2.66772151898734</v>
      </c>
      <c r="AA10" s="4" t="n">
        <f aca="false">ROUNDDOWN(1200/Y10,0)*0.5+1200/P10</f>
        <v>11.067286364116</v>
      </c>
      <c r="AB10" s="3" t="n">
        <f aca="false">ROUNDDOWN(1200/Y10,0)</f>
        <v>3</v>
      </c>
      <c r="AC10" s="4"/>
    </row>
    <row r="11" customFormat="false" ht="15.75" hidden="false" customHeight="false" outlineLevel="0" collapsed="false">
      <c r="A11" s="3"/>
      <c r="B11" s="26" t="n">
        <v>70</v>
      </c>
      <c r="C11" s="26" t="n">
        <v>6.7</v>
      </c>
      <c r="D11" s="26" t="n">
        <v>98</v>
      </c>
      <c r="E11" s="4" t="n">
        <f aca="false">D11*1.15</f>
        <v>112.7</v>
      </c>
      <c r="F11" s="4" t="n">
        <f aca="false">E11/C11</f>
        <v>16.8208955223881</v>
      </c>
      <c r="G11" s="5" t="n">
        <f aca="false">((27-C11*0.75)/C11)*E11</f>
        <v>369.639179104478</v>
      </c>
      <c r="H11" s="6" t="n">
        <f aca="false">G11/E11</f>
        <v>3.27985074626866</v>
      </c>
      <c r="K11" s="27" t="n">
        <f aca="false">B11</f>
        <v>70</v>
      </c>
      <c r="L11" s="3" t="n">
        <f aca="false">C11</f>
        <v>6.7</v>
      </c>
      <c r="M11" s="4" t="n">
        <f aca="false">E11*(1-0.02)^4</f>
        <v>103.950891632</v>
      </c>
      <c r="N11" s="4" t="n">
        <f aca="false">$M11*(1.02)^(N$6/1000)</f>
        <v>108.150507653933</v>
      </c>
      <c r="O11" s="4" t="n">
        <f aca="false">$M11*(1.02)^(O$6/1000)</f>
        <v>112.519788163152</v>
      </c>
      <c r="P11" s="4" t="n">
        <f aca="false">$M11*(1.02)^(P$6/1000)</f>
        <v>117.065587604943</v>
      </c>
      <c r="Q11" s="4" t="n">
        <f aca="false">$M11*(1.02)^(Q$6/1000)</f>
        <v>121.795037344183</v>
      </c>
      <c r="R11" s="4" t="n">
        <f aca="false">$M11*(1.02)^(R$6/1000)</f>
        <v>126.715556852888</v>
      </c>
      <c r="S11" s="4" t="n">
        <f aca="false">$M11*(1.02)^(S$6/1000)</f>
        <v>131.834865349744</v>
      </c>
      <c r="T11" s="4" t="n">
        <f aca="false">$M11*(1.02)^(T$6/1000)</f>
        <v>137.160993909874</v>
      </c>
      <c r="U11" s="28" t="n">
        <f aca="false">$M11*(1.02)^(U$6/1000)</f>
        <v>142.702298063833</v>
      </c>
      <c r="W11" s="3" t="n">
        <f aca="false">B11</f>
        <v>70</v>
      </c>
      <c r="X11" s="4" t="n">
        <f aca="false">P11/L11</f>
        <v>17.4724757619318</v>
      </c>
      <c r="Y11" s="5" t="n">
        <f aca="false">((27-L11*0.75)/L11)*P11</f>
        <v>383.957654868451</v>
      </c>
      <c r="Z11" s="4" t="n">
        <f aca="false">Y11/P11</f>
        <v>3.27985074626866</v>
      </c>
      <c r="AA11" s="4" t="n">
        <f aca="false">ROUNDDOWN(1200/Y11,0)*0.5+1200/P11</f>
        <v>11.7506639615529</v>
      </c>
      <c r="AB11" s="3" t="n">
        <f aca="false">ROUNDDOWN(1200/Y11,0)</f>
        <v>3</v>
      </c>
      <c r="AC11" s="4"/>
    </row>
    <row r="12" customFormat="false" ht="15.75" hidden="false" customHeight="false" outlineLevel="0" collapsed="false">
      <c r="A12" s="3"/>
      <c r="B12" s="26" t="n">
        <v>60</v>
      </c>
      <c r="C12" s="26" t="n">
        <v>5.7</v>
      </c>
      <c r="D12" s="26" t="n">
        <v>91</v>
      </c>
      <c r="E12" s="4" t="n">
        <f aca="false">D12*1.15</f>
        <v>104.65</v>
      </c>
      <c r="F12" s="4" t="n">
        <f aca="false">E12/C12</f>
        <v>18.359649122807</v>
      </c>
      <c r="G12" s="5" t="n">
        <f aca="false">((27-C12*0.75)/C12)*E12</f>
        <v>417.223026315789</v>
      </c>
      <c r="H12" s="6" t="n">
        <f aca="false">G12/E12</f>
        <v>3.98684210526316</v>
      </c>
      <c r="K12" s="27" t="n">
        <f aca="false">B12</f>
        <v>60</v>
      </c>
      <c r="L12" s="3" t="n">
        <f aca="false">C12</f>
        <v>5.7</v>
      </c>
      <c r="M12" s="29" t="n">
        <f aca="false">E12*(1-0.02)^4</f>
        <v>96.525827944</v>
      </c>
      <c r="N12" s="29" t="n">
        <f aca="false">$M12*(1.02)^(N$6/1000)</f>
        <v>100.425471392938</v>
      </c>
      <c r="O12" s="29" t="n">
        <f aca="false">$M12*(1.02)^(O$6/1000)</f>
        <v>104.482660437212</v>
      </c>
      <c r="P12" s="29" t="n">
        <f aca="false">$M12*(1.02)^(P$6/1000)</f>
        <v>108.703759918876</v>
      </c>
      <c r="Q12" s="29" t="n">
        <f aca="false">$M12*(1.02)^(Q$6/1000)</f>
        <v>113.095391819598</v>
      </c>
      <c r="R12" s="29" t="n">
        <f aca="false">$M12*(1.02)^(R$6/1000)</f>
        <v>117.66444564911</v>
      </c>
      <c r="S12" s="29" t="n">
        <f aca="false">$M12*(1.02)^(S$6/1000)</f>
        <v>122.418089253334</v>
      </c>
      <c r="T12" s="29" t="n">
        <f aca="false">$M12*(1.02)^(T$6/1000)</f>
        <v>127.363780059169</v>
      </c>
      <c r="U12" s="30" t="n">
        <f aca="false">$M12*(1.02)^(U$6/1000)</f>
        <v>132.509276773559</v>
      </c>
      <c r="W12" s="3" t="n">
        <f aca="false">B12</f>
        <v>60</v>
      </c>
      <c r="X12" s="29" t="n">
        <f aca="false">P12/L12</f>
        <v>19.070835073487</v>
      </c>
      <c r="Y12" s="31" t="n">
        <f aca="false">((27-L12*0.75)/L12)*P12</f>
        <v>433.384727044991</v>
      </c>
      <c r="Z12" s="29" t="n">
        <f aca="false">Y12/P12</f>
        <v>3.98684210526316</v>
      </c>
      <c r="AA12" s="29" t="n">
        <f aca="false">ROUNDDOWN(1200/Y12,0)*0.5+1200/P12</f>
        <v>12.03917657398</v>
      </c>
      <c r="AB12" s="32" t="n">
        <f aca="false">ROUNDDOWN(1200/Y12,0)</f>
        <v>2</v>
      </c>
      <c r="AC12" s="4"/>
    </row>
    <row r="13" customFormat="false" ht="15.75" hidden="false" customHeight="false" outlineLevel="0" collapsed="false">
      <c r="A13" s="3"/>
      <c r="B13" s="26" t="n">
        <v>50</v>
      </c>
      <c r="C13" s="26" t="n">
        <v>4.8</v>
      </c>
      <c r="D13" s="26" t="n">
        <v>84</v>
      </c>
      <c r="E13" s="4" t="n">
        <f aca="false">D13*1.15</f>
        <v>96.6</v>
      </c>
      <c r="F13" s="4" t="n">
        <f aca="false">E13/C13</f>
        <v>20.125</v>
      </c>
      <c r="G13" s="5" t="n">
        <f aca="false">((27-C13*0.75)/C13)*E13</f>
        <v>470.925</v>
      </c>
      <c r="H13" s="6" t="n">
        <f aca="false">G13/E13</f>
        <v>4.875</v>
      </c>
      <c r="K13" s="27" t="n">
        <f aca="false">B13</f>
        <v>50</v>
      </c>
      <c r="L13" s="3" t="n">
        <f aca="false">C13</f>
        <v>4.8</v>
      </c>
      <c r="M13" s="4" t="n">
        <f aca="false">E13*(1-0.02)^4</f>
        <v>89.100764256</v>
      </c>
      <c r="N13" s="4" t="n">
        <f aca="false">$M13*(1.02)^(N$6/1000)</f>
        <v>92.7004351319424</v>
      </c>
      <c r="O13" s="4" t="n">
        <f aca="false">$M13*(1.02)^(O$6/1000)</f>
        <v>96.4455327112729</v>
      </c>
      <c r="P13" s="4" t="n">
        <f aca="false">$M13*(1.02)^(P$6/1000)</f>
        <v>100.341932232808</v>
      </c>
      <c r="Q13" s="4" t="n">
        <f aca="false">$M13*(1.02)^(Q$6/1000)</f>
        <v>104.395746295014</v>
      </c>
      <c r="R13" s="4" t="n">
        <f aca="false">$M13*(1.02)^(R$6/1000)</f>
        <v>108.613334445332</v>
      </c>
      <c r="S13" s="4" t="n">
        <f aca="false">$M13*(1.02)^(S$6/1000)</f>
        <v>113.001313156924</v>
      </c>
      <c r="T13" s="4" t="n">
        <f aca="false">$M13*(1.02)^(T$6/1000)</f>
        <v>117.566566208463</v>
      </c>
      <c r="U13" s="28" t="n">
        <f aca="false">$M13*(1.02)^(U$6/1000)</f>
        <v>122.316255483285</v>
      </c>
      <c r="W13" s="3" t="n">
        <f aca="false">B13</f>
        <v>50</v>
      </c>
      <c r="X13" s="4" t="n">
        <f aca="false">P13/L13</f>
        <v>20.9045692151684</v>
      </c>
      <c r="Y13" s="5" t="n">
        <f aca="false">((27-L13*0.75)/L13)*P13</f>
        <v>489.16691963494</v>
      </c>
      <c r="Z13" s="4" t="n">
        <f aca="false">Y13/P13</f>
        <v>4.875</v>
      </c>
      <c r="AA13" s="4" t="n">
        <f aca="false">ROUNDDOWN(1200/Y13,0)*0.5+1200/P13</f>
        <v>12.959107955145</v>
      </c>
      <c r="AB13" s="3" t="n">
        <f aca="false">ROUNDDOWN(1200/Y13,0)</f>
        <v>2</v>
      </c>
      <c r="AC13" s="4"/>
    </row>
    <row r="14" customFormat="false" ht="15.75" hidden="false" customHeight="false" outlineLevel="0" collapsed="false">
      <c r="A14" s="3"/>
      <c r="B14" s="26" t="n">
        <v>40</v>
      </c>
      <c r="C14" s="26" t="n">
        <v>4</v>
      </c>
      <c r="D14" s="26" t="n">
        <v>77</v>
      </c>
      <c r="E14" s="4" t="n">
        <f aca="false">D14*1.15</f>
        <v>88.55</v>
      </c>
      <c r="F14" s="4" t="n">
        <f aca="false">E14/C14</f>
        <v>22.1375</v>
      </c>
      <c r="G14" s="5" t="n">
        <f aca="false">((27-C14*0.75)/C14)*E14</f>
        <v>531.3</v>
      </c>
      <c r="H14" s="6" t="n">
        <f aca="false">G14/E14</f>
        <v>6</v>
      </c>
      <c r="K14" s="27" t="n">
        <f aca="false">B14</f>
        <v>40</v>
      </c>
      <c r="L14" s="3" t="n">
        <f aca="false">C14</f>
        <v>4</v>
      </c>
      <c r="M14" s="4" t="n">
        <f aca="false">E14*(1-0.02)^4</f>
        <v>81.675700568</v>
      </c>
      <c r="N14" s="4" t="n">
        <f aca="false">$M14*(1.02)^(N$6/1000)</f>
        <v>84.9753988709472</v>
      </c>
      <c r="O14" s="4" t="n">
        <f aca="false">$M14*(1.02)^(O$6/1000)</f>
        <v>88.4084049853335</v>
      </c>
      <c r="P14" s="4" t="n">
        <f aca="false">$M14*(1.02)^(P$6/1000)</f>
        <v>91.9801045467409</v>
      </c>
      <c r="Q14" s="4" t="n">
        <f aca="false">$M14*(1.02)^(Q$6/1000)</f>
        <v>95.6961007704293</v>
      </c>
      <c r="R14" s="4" t="n">
        <f aca="false">$M14*(1.02)^(R$6/1000)</f>
        <v>99.5622232415546</v>
      </c>
      <c r="S14" s="4" t="n">
        <f aca="false">$M14*(1.02)^(S$6/1000)</f>
        <v>103.584537060513</v>
      </c>
      <c r="T14" s="4" t="n">
        <f aca="false">$M14*(1.02)^(T$6/1000)</f>
        <v>107.769352357758</v>
      </c>
      <c r="U14" s="28" t="n">
        <f aca="false">$M14*(1.02)^(U$6/1000)</f>
        <v>112.123234193012</v>
      </c>
      <c r="W14" s="3" t="n">
        <f aca="false">B14</f>
        <v>40</v>
      </c>
      <c r="X14" s="4" t="n">
        <f aca="false">P14/L14</f>
        <v>22.9950261366852</v>
      </c>
      <c r="Y14" s="5" t="n">
        <f aca="false">((27-L14*0.75)/L14)*P14</f>
        <v>551.880627280446</v>
      </c>
      <c r="Z14" s="4" t="n">
        <f aca="false">Y14/P14</f>
        <v>6</v>
      </c>
      <c r="AA14" s="4" t="n">
        <f aca="false">ROUNDDOWN(1200/Y14,0)*0.5+1200/P14</f>
        <v>14.0462995874309</v>
      </c>
      <c r="AB14" s="3" t="n">
        <f aca="false">ROUNDDOWN(1200/Y14,0)</f>
        <v>2</v>
      </c>
      <c r="AC14" s="4"/>
    </row>
    <row r="15" customFormat="false" ht="15.75" hidden="false" customHeight="false" outlineLevel="0" collapsed="false">
      <c r="A15" s="3"/>
      <c r="B15" s="26" t="n">
        <v>30</v>
      </c>
      <c r="C15" s="26" t="n">
        <v>3.3</v>
      </c>
      <c r="D15" s="26" t="n">
        <v>67</v>
      </c>
      <c r="E15" s="4" t="n">
        <f aca="false">D15*1.15</f>
        <v>77.05</v>
      </c>
      <c r="F15" s="4" t="n">
        <f aca="false">E15/C15</f>
        <v>23.3484848484848</v>
      </c>
      <c r="G15" s="5" t="n">
        <f aca="false">((27-C15*0.75)/C15)*E15</f>
        <v>572.621590909091</v>
      </c>
      <c r="H15" s="6" t="n">
        <f aca="false">G15/E15</f>
        <v>7.43181818181818</v>
      </c>
      <c r="K15" s="33" t="n">
        <f aca="false">B15</f>
        <v>30</v>
      </c>
      <c r="L15" s="34" t="n">
        <f aca="false">C15</f>
        <v>3.3</v>
      </c>
      <c r="M15" s="35" t="n">
        <f aca="false">E15*(1-0.02)^4</f>
        <v>71.068466728</v>
      </c>
      <c r="N15" s="35" t="n">
        <f aca="false">$M15*(1.02)^(N$6/1000)</f>
        <v>73.9396327838112</v>
      </c>
      <c r="O15" s="35" t="n">
        <f aca="false">$M15*(1.02)^(O$6/1000)</f>
        <v>76.9267939482772</v>
      </c>
      <c r="P15" s="35" t="n">
        <f aca="false">$M15*(1.02)^(P$6/1000)</f>
        <v>80.0346364237876</v>
      </c>
      <c r="Q15" s="35" t="n">
        <f aca="false">$M15*(1.02)^(Q$6/1000)</f>
        <v>83.2680357353086</v>
      </c>
      <c r="R15" s="35" t="n">
        <f aca="false">$M15*(1.02)^(R$6/1000)</f>
        <v>86.6320643790151</v>
      </c>
      <c r="S15" s="35" t="n">
        <f aca="false">$M15*(1.02)^(S$6/1000)</f>
        <v>90.1319997799273</v>
      </c>
      <c r="T15" s="35" t="n">
        <f aca="false">$M15*(1.02)^(T$6/1000)</f>
        <v>93.7733325710363</v>
      </c>
      <c r="U15" s="36" t="n">
        <f aca="false">$M15*(1.02)^(U$6/1000)</f>
        <v>97.5617752069062</v>
      </c>
      <c r="W15" s="3" t="n">
        <f aca="false">B15</f>
        <v>30</v>
      </c>
      <c r="X15" s="4" t="n">
        <f aca="false">P15/L15</f>
        <v>24.2529201284205</v>
      </c>
      <c r="Y15" s="5" t="n">
        <f aca="false">((27-L15*0.75)/L15)*P15</f>
        <v>594.802866149512</v>
      </c>
      <c r="Z15" s="4" t="n">
        <f aca="false">Y15/P15</f>
        <v>7.43181818181818</v>
      </c>
      <c r="AA15" s="4" t="n">
        <f aca="false">ROUNDDOWN(1200/Y15,0)*0.5+1200/P15</f>
        <v>15.9935084810773</v>
      </c>
      <c r="AB15" s="3" t="n">
        <f aca="false">ROUNDDOWN(1200/Y15,0)</f>
        <v>2</v>
      </c>
    </row>
    <row r="16" customFormat="false" ht="15.75" hidden="false" customHeight="false" outlineLevel="0" collapsed="false">
      <c r="A16" s="3"/>
      <c r="B16" s="3"/>
      <c r="C16" s="3"/>
      <c r="D16" s="3"/>
      <c r="E16" s="4"/>
      <c r="F16" s="4"/>
      <c r="G16" s="5"/>
      <c r="H16" s="6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W16" s="3"/>
      <c r="X16" s="4"/>
      <c r="Z16" s="7"/>
      <c r="AA16" s="4"/>
      <c r="AB16" s="3"/>
    </row>
    <row r="17" customFormat="false" ht="15.75" hidden="false" customHeight="false" outlineLevel="0" collapsed="false">
      <c r="A17" s="3"/>
      <c r="B17" s="3"/>
      <c r="C17" s="3"/>
      <c r="D17" s="3"/>
      <c r="E17" s="4"/>
      <c r="F17" s="4"/>
      <c r="G17" s="5"/>
      <c r="H17" s="6"/>
      <c r="K17" s="3"/>
      <c r="L17" s="15"/>
      <c r="M17" s="25"/>
      <c r="N17" s="23"/>
      <c r="O17" s="23"/>
      <c r="P17" s="23"/>
      <c r="Q17" s="23"/>
      <c r="R17" s="23"/>
      <c r="S17" s="23"/>
      <c r="T17" s="23"/>
      <c r="U17" s="23"/>
      <c r="W17" s="3"/>
      <c r="X17" s="4"/>
      <c r="Z17" s="7"/>
      <c r="AA17" s="4"/>
      <c r="AB17" s="3"/>
    </row>
    <row r="18" customFormat="false" ht="15.75" hidden="false" customHeight="false" outlineLevel="0" collapsed="false">
      <c r="A18" s="3"/>
      <c r="B18" s="3"/>
      <c r="C18" s="3"/>
      <c r="D18" s="3"/>
      <c r="E18" s="4"/>
      <c r="F18" s="4"/>
      <c r="G18" s="5"/>
      <c r="H18" s="6"/>
      <c r="K18" s="10" t="s">
        <v>15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W18" s="3"/>
      <c r="X18" s="4"/>
      <c r="Z18" s="7"/>
      <c r="AA18" s="4"/>
      <c r="AB18" s="3"/>
    </row>
    <row r="19" customFormat="false" ht="26.85" hidden="false" customHeight="false" outlineLevel="0" collapsed="false">
      <c r="A19" s="11"/>
      <c r="B19" s="11" t="s">
        <v>16</v>
      </c>
      <c r="C19" s="3"/>
      <c r="D19" s="3"/>
      <c r="E19" s="4"/>
      <c r="F19" s="4"/>
      <c r="G19" s="5"/>
      <c r="H19" s="6"/>
      <c r="K19" s="14"/>
      <c r="L19" s="15" t="s">
        <v>5</v>
      </c>
      <c r="M19" s="16" t="n">
        <v>0</v>
      </c>
      <c r="N19" s="13" t="n">
        <v>2000</v>
      </c>
      <c r="O19" s="13" t="n">
        <v>4000</v>
      </c>
      <c r="P19" s="13" t="n">
        <v>6000</v>
      </c>
      <c r="Q19" s="13" t="n">
        <v>8000</v>
      </c>
      <c r="R19" s="13" t="n">
        <v>10000</v>
      </c>
      <c r="S19" s="13" t="n">
        <v>12000</v>
      </c>
      <c r="T19" s="13" t="n">
        <v>14000</v>
      </c>
      <c r="U19" s="17" t="n">
        <v>16000</v>
      </c>
      <c r="W19" s="11" t="s">
        <v>15</v>
      </c>
      <c r="X19" s="4"/>
      <c r="Z19" s="7"/>
      <c r="AA19" s="4"/>
      <c r="AB19" s="3"/>
    </row>
    <row r="20" customFormat="false" ht="26.85" hidden="false" customHeight="false" outlineLevel="0" collapsed="false">
      <c r="A20" s="3"/>
      <c r="B20" s="3" t="s">
        <v>6</v>
      </c>
      <c r="C20" s="3" t="s">
        <v>7</v>
      </c>
      <c r="D20" s="3" t="s">
        <v>8</v>
      </c>
      <c r="E20" s="4" t="s">
        <v>9</v>
      </c>
      <c r="F20" s="4" t="s">
        <v>10</v>
      </c>
      <c r="G20" s="5" t="s">
        <v>11</v>
      </c>
      <c r="H20" s="6" t="s">
        <v>12</v>
      </c>
      <c r="K20" s="20" t="s">
        <v>6</v>
      </c>
      <c r="L20" s="13" t="s">
        <v>7</v>
      </c>
      <c r="M20" s="19" t="s">
        <v>9</v>
      </c>
      <c r="N20" s="19" t="s">
        <v>9</v>
      </c>
      <c r="O20" s="19" t="s">
        <v>9</v>
      </c>
      <c r="P20" s="19" t="s">
        <v>9</v>
      </c>
      <c r="Q20" s="19" t="s">
        <v>9</v>
      </c>
      <c r="R20" s="19" t="s">
        <v>9</v>
      </c>
      <c r="S20" s="19" t="s">
        <v>9</v>
      </c>
      <c r="T20" s="19" t="s">
        <v>9</v>
      </c>
      <c r="U20" s="21" t="s">
        <v>9</v>
      </c>
      <c r="W20" s="3" t="s">
        <v>6</v>
      </c>
      <c r="X20" s="4"/>
      <c r="Z20" s="7"/>
      <c r="AA20" s="4"/>
      <c r="AB20" s="3"/>
    </row>
    <row r="21" customFormat="false" ht="15.75" hidden="false" customHeight="false" outlineLevel="0" collapsed="false">
      <c r="A21" s="3"/>
      <c r="B21" s="26" t="n">
        <v>99</v>
      </c>
      <c r="C21" s="26" t="n">
        <v>11.4</v>
      </c>
      <c r="D21" s="26" t="n">
        <v>120</v>
      </c>
      <c r="E21" s="4" t="n">
        <f aca="false">D21*1.15</f>
        <v>138</v>
      </c>
      <c r="F21" s="4" t="n">
        <f aca="false">E21/C21</f>
        <v>12.1052631578947</v>
      </c>
      <c r="G21" s="5" t="n">
        <f aca="false">((27-C21*0.75)/C21)*E21</f>
        <v>223.342105263158</v>
      </c>
      <c r="H21" s="6" t="n">
        <f aca="false">G21/E21</f>
        <v>1.61842105263158</v>
      </c>
      <c r="K21" s="27" t="n">
        <f aca="false">B21</f>
        <v>99</v>
      </c>
      <c r="L21" s="3" t="n">
        <f aca="false">C21</f>
        <v>11.4</v>
      </c>
      <c r="M21" s="4" t="n">
        <f aca="false">E21*(1-0.02)^6.1</f>
        <v>121.999527346939</v>
      </c>
      <c r="N21" s="4" t="n">
        <f aca="false">$M21*(1.02)^(N$6/1000)</f>
        <v>126.928308251756</v>
      </c>
      <c r="O21" s="4" t="n">
        <f aca="false">$M21*(1.02)^(O$6/1000)</f>
        <v>132.056211905127</v>
      </c>
      <c r="P21" s="4" t="n">
        <f aca="false">$M21*(1.02)^(P$6/1000)</f>
        <v>137.391282866094</v>
      </c>
      <c r="Q21" s="4" t="n">
        <f aca="false">$M21*(1.02)^(Q$6/1000)</f>
        <v>142.941890693884</v>
      </c>
      <c r="R21" s="4" t="n">
        <f aca="false">$M21*(1.02)^(R$6/1000)</f>
        <v>148.716743077917</v>
      </c>
      <c r="S21" s="4" t="n">
        <f aca="false">$M21*(1.02)^(S$6/1000)</f>
        <v>154.724899498265</v>
      </c>
      <c r="T21" s="4" t="n">
        <f aca="false">$M21*(1.02)^(T$6/1000)</f>
        <v>160.975785437995</v>
      </c>
      <c r="U21" s="28" t="n">
        <f aca="false">$M21*(1.02)^(U$6/1000)</f>
        <v>167.479207169689</v>
      </c>
      <c r="W21" s="3" t="n">
        <f aca="false">B21</f>
        <v>99</v>
      </c>
      <c r="X21" s="4" t="n">
        <f aca="false">P21/L21</f>
        <v>12.0518669180784</v>
      </c>
      <c r="Y21" s="5" t="n">
        <f aca="false">((27-L21*0.75)/L21)*P21</f>
        <v>222.356944638546</v>
      </c>
      <c r="Z21" s="4" t="n">
        <f aca="false">Y21/P21</f>
        <v>1.61842105263158</v>
      </c>
      <c r="AA21" s="4" t="n">
        <f aca="false">ROUNDDOWN(1200/Y21,0)*0.5+1200/P21</f>
        <v>11.234178580817</v>
      </c>
      <c r="AB21" s="3" t="n">
        <f aca="false">ROUNDDOWN(1200/Y21,0)</f>
        <v>5</v>
      </c>
    </row>
    <row r="22" customFormat="false" ht="15.75" hidden="false" customHeight="false" outlineLevel="0" collapsed="false">
      <c r="A22" s="3"/>
      <c r="B22" s="26" t="n">
        <v>90</v>
      </c>
      <c r="C22" s="26" t="n">
        <v>10.1</v>
      </c>
      <c r="D22" s="26" t="n">
        <v>115</v>
      </c>
      <c r="E22" s="4" t="n">
        <f aca="false">D22*1.15</f>
        <v>132.25</v>
      </c>
      <c r="F22" s="4" t="n">
        <f aca="false">E22/C22</f>
        <v>13.0940594059406</v>
      </c>
      <c r="G22" s="5" t="n">
        <f aca="false">((27-C22*0.75)/C22)*E22</f>
        <v>254.352103960396</v>
      </c>
      <c r="H22" s="6" t="n">
        <f aca="false">G22/E22</f>
        <v>1.92326732673267</v>
      </c>
      <c r="K22" s="27" t="n">
        <f aca="false">B22</f>
        <v>90</v>
      </c>
      <c r="L22" s="3" t="n">
        <f aca="false">C22</f>
        <v>10.1</v>
      </c>
      <c r="M22" s="4" t="n">
        <f aca="false">E22*(1-0.02)^6.1</f>
        <v>116.916213707483</v>
      </c>
      <c r="N22" s="4" t="n">
        <f aca="false">$M22*(1.02)^(N$6/1000)</f>
        <v>121.639628741266</v>
      </c>
      <c r="O22" s="4" t="n">
        <f aca="false">$M22*(1.02)^(O$6/1000)</f>
        <v>126.553869742413</v>
      </c>
      <c r="P22" s="4" t="n">
        <f aca="false">$M22*(1.02)^(P$6/1000)</f>
        <v>131.666646080006</v>
      </c>
      <c r="Q22" s="4" t="n">
        <f aca="false">$M22*(1.02)^(Q$6/1000)</f>
        <v>136.985978581639</v>
      </c>
      <c r="R22" s="4" t="n">
        <f aca="false">$M22*(1.02)^(R$6/1000)</f>
        <v>142.520212116337</v>
      </c>
      <c r="S22" s="4" t="n">
        <f aca="false">$M22*(1.02)^(S$6/1000)</f>
        <v>148.278028685837</v>
      </c>
      <c r="T22" s="4" t="n">
        <f aca="false">$M22*(1.02)^(T$6/1000)</f>
        <v>154.268461044745</v>
      </c>
      <c r="U22" s="28" t="n">
        <f aca="false">$M22*(1.02)^(U$6/1000)</f>
        <v>160.500906870952</v>
      </c>
      <c r="W22" s="3" t="n">
        <v>90</v>
      </c>
      <c r="X22" s="4" t="n">
        <f aca="false">P22/L22</f>
        <v>13.0363015920798</v>
      </c>
      <c r="Y22" s="5" t="n">
        <f aca="false">((27-L22*0.75)/L22)*P22</f>
        <v>253.230158426151</v>
      </c>
      <c r="Z22" s="4" t="n">
        <f aca="false">Y22/P22</f>
        <v>1.92326732673267</v>
      </c>
      <c r="AA22" s="4" t="n">
        <f aca="false">ROUNDDOWN(1200/Y22,0)*0.5+1200/P22</f>
        <v>11.1139254756351</v>
      </c>
      <c r="AB22" s="3" t="n">
        <f aca="false">ROUNDDOWN(1200/Y22,0)</f>
        <v>4</v>
      </c>
    </row>
    <row r="23" customFormat="false" ht="15.75" hidden="false" customHeight="false" outlineLevel="0" collapsed="false">
      <c r="A23" s="3"/>
      <c r="B23" s="26" t="n">
        <v>80</v>
      </c>
      <c r="C23" s="26" t="n">
        <v>8</v>
      </c>
      <c r="D23" s="26" t="n">
        <v>110</v>
      </c>
      <c r="E23" s="4" t="n">
        <f aca="false">D23*1.15</f>
        <v>126.5</v>
      </c>
      <c r="F23" s="4" t="n">
        <f aca="false">E23/C23</f>
        <v>15.8125</v>
      </c>
      <c r="G23" s="5" t="n">
        <f aca="false">((27-C23*0.75)/C23)*E23</f>
        <v>332.0625</v>
      </c>
      <c r="H23" s="6" t="n">
        <f aca="false">G23/E23</f>
        <v>2.625</v>
      </c>
      <c r="K23" s="27" t="n">
        <f aca="false">B23</f>
        <v>80</v>
      </c>
      <c r="L23" s="3" t="n">
        <f aca="false">C23</f>
        <v>8</v>
      </c>
      <c r="M23" s="4" t="n">
        <f aca="false">E23*(1-0.02)^6.1</f>
        <v>111.832900068028</v>
      </c>
      <c r="N23" s="4" t="n">
        <f aca="false">$M23*(1.02)^(N$6/1000)</f>
        <v>116.350949230776</v>
      </c>
      <c r="O23" s="4" t="n">
        <f aca="false">$M23*(1.02)^(O$6/1000)</f>
        <v>121.051527579699</v>
      </c>
      <c r="P23" s="4" t="n">
        <f aca="false">$M23*(1.02)^(P$6/1000)</f>
        <v>125.942009293919</v>
      </c>
      <c r="Q23" s="4" t="n">
        <f aca="false">$M23*(1.02)^(Q$6/1000)</f>
        <v>131.030066469394</v>
      </c>
      <c r="R23" s="4" t="n">
        <f aca="false">$M23*(1.02)^(R$6/1000)</f>
        <v>136.323681154757</v>
      </c>
      <c r="S23" s="4" t="n">
        <f aca="false">$M23*(1.02)^(S$6/1000)</f>
        <v>141.831157873409</v>
      </c>
      <c r="T23" s="4" t="n">
        <f aca="false">$M23*(1.02)^(T$6/1000)</f>
        <v>147.561136651495</v>
      </c>
      <c r="U23" s="28" t="n">
        <f aca="false">$M23*(1.02)^(U$6/1000)</f>
        <v>153.522606572215</v>
      </c>
      <c r="W23" s="3" t="n">
        <v>80</v>
      </c>
      <c r="X23" s="4" t="n">
        <f aca="false">P23/L23</f>
        <v>15.7427511617399</v>
      </c>
      <c r="Y23" s="5" t="n">
        <f aca="false">((27-L23*0.75)/L23)*P23</f>
        <v>330.597774396538</v>
      </c>
      <c r="Z23" s="4" t="n">
        <f aca="false">Y23/P23</f>
        <v>2.625</v>
      </c>
      <c r="AA23" s="4" t="n">
        <f aca="false">ROUNDDOWN(1200/Y23,0)*0.5+1200/P23</f>
        <v>11.0281948154367</v>
      </c>
      <c r="AB23" s="3" t="n">
        <f aca="false">ROUNDDOWN(1200/Y23,0)</f>
        <v>3</v>
      </c>
    </row>
    <row r="24" customFormat="false" ht="15.75" hidden="false" customHeight="false" outlineLevel="0" collapsed="false">
      <c r="A24" s="3"/>
      <c r="B24" s="26" t="n">
        <v>70</v>
      </c>
      <c r="C24" s="26" t="n">
        <v>6.7</v>
      </c>
      <c r="D24" s="26" t="n">
        <v>104</v>
      </c>
      <c r="E24" s="4" t="n">
        <f aca="false">D24*1.15</f>
        <v>119.6</v>
      </c>
      <c r="F24" s="4" t="n">
        <f aca="false">E24/C24</f>
        <v>17.8507462686567</v>
      </c>
      <c r="G24" s="5" t="n">
        <f aca="false">((27-C24*0.75)/C24)*E24</f>
        <v>392.270149253731</v>
      </c>
      <c r="H24" s="6" t="n">
        <f aca="false">G24/E24</f>
        <v>3.27985074626866</v>
      </c>
      <c r="K24" s="27" t="n">
        <f aca="false">B24</f>
        <v>70</v>
      </c>
      <c r="L24" s="3" t="n">
        <f aca="false">C24</f>
        <v>6.7</v>
      </c>
      <c r="M24" s="4" t="n">
        <f aca="false">E24*(1-0.02)^6.1</f>
        <v>105.732923700681</v>
      </c>
      <c r="N24" s="4" t="n">
        <f aca="false">$M24*(1.02)^(N$6/1000)</f>
        <v>110.004533818188</v>
      </c>
      <c r="O24" s="4" t="n">
        <f aca="false">$M24*(1.02)^(O$6/1000)</f>
        <v>114.448716984443</v>
      </c>
      <c r="P24" s="4" t="n">
        <f aca="false">$M24*(1.02)^(P$6/1000)</f>
        <v>119.072445150615</v>
      </c>
      <c r="Q24" s="4" t="n">
        <f aca="false">$M24*(1.02)^(Q$6/1000)</f>
        <v>123.882971934699</v>
      </c>
      <c r="R24" s="4" t="n">
        <f aca="false">$M24*(1.02)^(R$6/1000)</f>
        <v>128.887844000861</v>
      </c>
      <c r="S24" s="4" t="n">
        <f aca="false">$M24*(1.02)^(S$6/1000)</f>
        <v>134.094912898496</v>
      </c>
      <c r="T24" s="4" t="n">
        <f aca="false">$M24*(1.02)^(T$6/1000)</f>
        <v>139.512347379595</v>
      </c>
      <c r="U24" s="28" t="n">
        <f aca="false">$M24*(1.02)^(U$6/1000)</f>
        <v>145.148646213731</v>
      </c>
      <c r="W24" s="3" t="n">
        <v>70</v>
      </c>
      <c r="X24" s="4" t="n">
        <f aca="false">P24/L24</f>
        <v>17.7720067388977</v>
      </c>
      <c r="Y24" s="5" t="n">
        <f aca="false">((27-L24*0.75)/L24)*P24</f>
        <v>390.539848087277</v>
      </c>
      <c r="Z24" s="4" t="n">
        <f aca="false">Y24/P24</f>
        <v>3.27985074626866</v>
      </c>
      <c r="AA24" s="4" t="n">
        <f aca="false">ROUNDDOWN(1200/Y24,0)*0.5+1200/P24</f>
        <v>11.5778983624811</v>
      </c>
      <c r="AB24" s="3" t="n">
        <f aca="false">ROUNDDOWN(1200/Y24,0)</f>
        <v>3</v>
      </c>
    </row>
    <row r="25" customFormat="false" ht="15.75" hidden="false" customHeight="false" outlineLevel="0" collapsed="false">
      <c r="A25" s="3"/>
      <c r="B25" s="26" t="n">
        <v>60</v>
      </c>
      <c r="C25" s="26" t="n">
        <v>5.7</v>
      </c>
      <c r="D25" s="26" t="n">
        <v>97</v>
      </c>
      <c r="E25" s="4" t="n">
        <f aca="false">D25*1.15</f>
        <v>111.55</v>
      </c>
      <c r="F25" s="4" t="n">
        <f aca="false">E25/C25</f>
        <v>19.5701754385965</v>
      </c>
      <c r="G25" s="5" t="n">
        <f aca="false">((27-C25*0.75)/C25)*E25</f>
        <v>444.732236842105</v>
      </c>
      <c r="H25" s="6" t="n">
        <f aca="false">G25/E25</f>
        <v>3.98684210526316</v>
      </c>
      <c r="K25" s="27" t="n">
        <f aca="false">B25</f>
        <v>60</v>
      </c>
      <c r="L25" s="3" t="n">
        <f aca="false">C25</f>
        <v>5.7</v>
      </c>
      <c r="M25" s="29" t="n">
        <f aca="false">E25*(1-0.02)^6.1</f>
        <v>98.6162846054426</v>
      </c>
      <c r="N25" s="29" t="n">
        <f aca="false">$M25*(1.02)^(N$6/1000)</f>
        <v>102.600382503502</v>
      </c>
      <c r="O25" s="29" t="n">
        <f aca="false">$M25*(1.02)^(O$6/1000)</f>
        <v>106.745437956644</v>
      </c>
      <c r="P25" s="29" t="n">
        <f aca="false">$M25*(1.02)^(P$6/1000)</f>
        <v>111.057953650092</v>
      </c>
      <c r="Q25" s="29" t="n">
        <f aca="false">$M25*(1.02)^(Q$6/1000)</f>
        <v>115.544694977556</v>
      </c>
      <c r="R25" s="29" t="n">
        <f aca="false">$M25*(1.02)^(R$6/1000)</f>
        <v>120.212700654649</v>
      </c>
      <c r="S25" s="29" t="n">
        <f aca="false">$M25*(1.02)^(S$6/1000)</f>
        <v>125.069293761097</v>
      </c>
      <c r="T25" s="29" t="n">
        <f aca="false">$M25*(1.02)^(T$6/1000)</f>
        <v>130.122093229046</v>
      </c>
      <c r="U25" s="30" t="n">
        <f aca="false">$M25*(1.02)^(U$6/1000)</f>
        <v>135.379025795499</v>
      </c>
      <c r="W25" s="3" t="n">
        <v>60</v>
      </c>
      <c r="X25" s="29" t="n">
        <f aca="false">P25/L25</f>
        <v>19.4838515175601</v>
      </c>
      <c r="Y25" s="31" t="n">
        <f aca="false">((27-L25*0.75)/L25)*P25</f>
        <v>442.770525736553</v>
      </c>
      <c r="Z25" s="29" t="n">
        <f aca="false">Y25/P25</f>
        <v>3.98684210526316</v>
      </c>
      <c r="AA25" s="29" t="n">
        <f aca="false">ROUNDDOWN(1200/Y25,0)*0.5+1200/P25</f>
        <v>11.8051693783303</v>
      </c>
      <c r="AB25" s="32" t="n">
        <f aca="false">ROUNDDOWN(1200/Y25,0)</f>
        <v>2</v>
      </c>
    </row>
    <row r="26" customFormat="false" ht="15.75" hidden="false" customHeight="false" outlineLevel="0" collapsed="false">
      <c r="A26" s="3"/>
      <c r="B26" s="26" t="n">
        <v>50</v>
      </c>
      <c r="C26" s="26" t="n">
        <v>4.9</v>
      </c>
      <c r="D26" s="26" t="n">
        <v>90</v>
      </c>
      <c r="E26" s="4" t="n">
        <f aca="false">D26*1.15</f>
        <v>103.5</v>
      </c>
      <c r="F26" s="4" t="n">
        <f aca="false">E26/C26</f>
        <v>21.1224489795918</v>
      </c>
      <c r="G26" s="5" t="n">
        <f aca="false">((27-C26*0.75)/C26)*E26</f>
        <v>492.681122448979</v>
      </c>
      <c r="H26" s="6" t="n">
        <f aca="false">G26/E26</f>
        <v>4.76020408163265</v>
      </c>
      <c r="K26" s="27" t="n">
        <f aca="false">B26</f>
        <v>50</v>
      </c>
      <c r="L26" s="3" t="n">
        <f aca="false">C26</f>
        <v>4.9</v>
      </c>
      <c r="M26" s="4" t="n">
        <f aca="false">E26*(1-0.02)^6.1</f>
        <v>91.4996455102044</v>
      </c>
      <c r="N26" s="4" t="n">
        <f aca="false">$M26*(1.02)^(N$6/1000)</f>
        <v>95.1962311888167</v>
      </c>
      <c r="O26" s="4" t="n">
        <f aca="false">$M26*(1.02)^(O$6/1000)</f>
        <v>99.0421589288449</v>
      </c>
      <c r="P26" s="4" t="n">
        <f aca="false">$M26*(1.02)^(P$6/1000)</f>
        <v>103.04346214957</v>
      </c>
      <c r="Q26" s="4" t="n">
        <f aca="false">$M26*(1.02)^(Q$6/1000)</f>
        <v>107.206418020413</v>
      </c>
      <c r="R26" s="4" t="n">
        <f aca="false">$M26*(1.02)^(R$6/1000)</f>
        <v>111.537557308438</v>
      </c>
      <c r="S26" s="4" t="n">
        <f aca="false">$M26*(1.02)^(S$6/1000)</f>
        <v>116.043674623698</v>
      </c>
      <c r="T26" s="4" t="n">
        <f aca="false">$M26*(1.02)^(T$6/1000)</f>
        <v>120.731839078496</v>
      </c>
      <c r="U26" s="28" t="n">
        <f aca="false">$M26*(1.02)^(U$6/1000)</f>
        <v>125.609405377267</v>
      </c>
      <c r="W26" s="3" t="n">
        <v>50</v>
      </c>
      <c r="X26" s="4" t="n">
        <f aca="false">P26/L26</f>
        <v>21.0292779897082</v>
      </c>
      <c r="Y26" s="5" t="n">
        <f aca="false">((27-L26*0.75)/L26)*P26</f>
        <v>490.507909109944</v>
      </c>
      <c r="Z26" s="4" t="n">
        <f aca="false">Y26/P26</f>
        <v>4.76020408163265</v>
      </c>
      <c r="AA26" s="4" t="n">
        <f aca="false">ROUNDDOWN(1200/Y26,0)*0.5+1200/P26</f>
        <v>12.6455714410893</v>
      </c>
      <c r="AB26" s="3" t="n">
        <f aca="false">ROUNDDOWN(1200/Y26,0)</f>
        <v>2</v>
      </c>
    </row>
    <row r="27" customFormat="false" ht="15.75" hidden="false" customHeight="false" outlineLevel="0" collapsed="false">
      <c r="A27" s="3"/>
      <c r="B27" s="26" t="n">
        <v>40</v>
      </c>
      <c r="C27" s="26" t="n">
        <v>3.9</v>
      </c>
      <c r="D27" s="26" t="n">
        <v>79</v>
      </c>
      <c r="E27" s="4" t="n">
        <f aca="false">D27*1.15</f>
        <v>90.85</v>
      </c>
      <c r="F27" s="4" t="n">
        <f aca="false">E27/C27</f>
        <v>23.2948717948718</v>
      </c>
      <c r="G27" s="5" t="n">
        <f aca="false">((27-C27*0.75)/C27)*E27</f>
        <v>560.824038461538</v>
      </c>
      <c r="H27" s="6" t="n">
        <f aca="false">G27/E27</f>
        <v>6.17307692307692</v>
      </c>
      <c r="K27" s="27" t="n">
        <f aca="false">B27</f>
        <v>40</v>
      </c>
      <c r="L27" s="3" t="n">
        <f aca="false">C27</f>
        <v>3.9</v>
      </c>
      <c r="M27" s="4" t="n">
        <f aca="false">E27*(1-0.02)^6.1</f>
        <v>80.3163555034017</v>
      </c>
      <c r="N27" s="4" t="n">
        <f aca="false">$M27*(1.02)^(N$6/1000)</f>
        <v>83.5611362657391</v>
      </c>
      <c r="O27" s="4" t="n">
        <f aca="false">$M27*(1.02)^(O$6/1000)</f>
        <v>86.937006170875</v>
      </c>
      <c r="P27" s="4" t="n">
        <f aca="false">$M27*(1.02)^(P$6/1000)</f>
        <v>90.4492612201783</v>
      </c>
      <c r="Q27" s="4" t="n">
        <f aca="false">$M27*(1.02)^(Q$6/1000)</f>
        <v>94.1034113734735</v>
      </c>
      <c r="R27" s="4" t="n">
        <f aca="false">$M27*(1.02)^(R$6/1000)</f>
        <v>97.9051891929619</v>
      </c>
      <c r="S27" s="4" t="n">
        <f aca="false">$M27*(1.02)^(S$6/1000)</f>
        <v>101.860558836358</v>
      </c>
      <c r="T27" s="4" t="n">
        <f aca="false">$M27*(1.02)^(T$6/1000)</f>
        <v>105.975725413346</v>
      </c>
      <c r="U27" s="28" t="n">
        <f aca="false">$M27*(1.02)^(U$6/1000)</f>
        <v>110.257144720046</v>
      </c>
      <c r="W27" s="3" t="n">
        <v>40</v>
      </c>
      <c r="X27" s="4" t="n">
        <f aca="false">P27/L27</f>
        <v>23.1921182615842</v>
      </c>
      <c r="Y27" s="5" t="n">
        <f aca="false">((27-L27*0.75)/L27)*P27</f>
        <v>558.350247147639</v>
      </c>
      <c r="Z27" s="4" t="n">
        <f aca="false">Y27/P27</f>
        <v>6.17307692307692</v>
      </c>
      <c r="AA27" s="4" t="n">
        <f aca="false">ROUNDDOWN(1200/Y27,0)*0.5+1200/P27</f>
        <v>14.2671067050384</v>
      </c>
      <c r="AB27" s="3" t="n">
        <f aca="false">ROUNDDOWN(1200/Y27,0)</f>
        <v>2</v>
      </c>
    </row>
    <row r="28" customFormat="false" ht="15.75" hidden="false" customHeight="false" outlineLevel="0" collapsed="false">
      <c r="A28" s="3"/>
      <c r="B28" s="26" t="n">
        <v>30</v>
      </c>
      <c r="C28" s="26" t="n">
        <v>3.1</v>
      </c>
      <c r="D28" s="26" t="n">
        <v>71</v>
      </c>
      <c r="E28" s="4" t="n">
        <f aca="false">D28*1.15</f>
        <v>81.65</v>
      </c>
      <c r="F28" s="4" t="n">
        <f aca="false">E28/C28</f>
        <v>26.3387096774194</v>
      </c>
      <c r="G28" s="5" t="n">
        <f aca="false">((27-C28*0.75)/C28)*E28</f>
        <v>649.907661290323</v>
      </c>
      <c r="H28" s="6" t="n">
        <f aca="false">G28/E28</f>
        <v>7.95967741935484</v>
      </c>
      <c r="K28" s="33" t="n">
        <f aca="false">B28</f>
        <v>30</v>
      </c>
      <c r="L28" s="34" t="n">
        <f aca="false">C28</f>
        <v>3.1</v>
      </c>
      <c r="M28" s="35" t="n">
        <f aca="false">E28*(1-0.02)^6.1</f>
        <v>72.1830536802724</v>
      </c>
      <c r="N28" s="35" t="n">
        <f aca="false">$M28*(1.02)^(N$6/1000)</f>
        <v>75.0992490489554</v>
      </c>
      <c r="O28" s="35" t="n">
        <f aca="false">$M28*(1.02)^(O$6/1000)</f>
        <v>78.1332587105332</v>
      </c>
      <c r="P28" s="35" t="n">
        <f aca="false">$M28*(1.02)^(P$6/1000)</f>
        <v>81.2898423624388</v>
      </c>
      <c r="Q28" s="35" t="n">
        <f aca="false">$M28*(1.02)^(Q$6/1000)</f>
        <v>84.5739519938813</v>
      </c>
      <c r="R28" s="35" t="n">
        <f aca="false">$M28*(1.02)^(R$6/1000)</f>
        <v>87.9907396544341</v>
      </c>
      <c r="S28" s="35" t="n">
        <f aca="false">$M28*(1.02)^(S$6/1000)</f>
        <v>91.5455655364732</v>
      </c>
      <c r="T28" s="35" t="n">
        <f aca="false">$M28*(1.02)^(T$6/1000)</f>
        <v>95.2440063841467</v>
      </c>
      <c r="U28" s="36" t="n">
        <f aca="false">$M28*(1.02)^(U$6/1000)</f>
        <v>99.0918642420663</v>
      </c>
      <c r="W28" s="3" t="n">
        <v>30</v>
      </c>
      <c r="X28" s="4" t="n">
        <f aca="false">P28/L28</f>
        <v>26.2225297943351</v>
      </c>
      <c r="Y28" s="5" t="n">
        <f aca="false">((27-L28*0.75)/L28)*P28</f>
        <v>647.040922675218</v>
      </c>
      <c r="Z28" s="4" t="n">
        <f aca="false">Y28/P28</f>
        <v>7.95967741935484</v>
      </c>
      <c r="AA28" s="4" t="n">
        <f aca="false">ROUNDDOWN(1200/Y28,0)*0.5+1200/P28</f>
        <v>15.261991967578</v>
      </c>
      <c r="AB28" s="3" t="n">
        <f aca="false">ROUNDDOWN(1200/Y28,0)</f>
        <v>1</v>
      </c>
    </row>
    <row r="29" customFormat="false" ht="15.75" hidden="false" customHeight="false" outlineLevel="0" collapsed="false">
      <c r="A29" s="3"/>
      <c r="B29" s="3"/>
      <c r="C29" s="3"/>
      <c r="D29" s="3"/>
      <c r="E29" s="4"/>
      <c r="F29" s="4"/>
      <c r="G29" s="5"/>
      <c r="H29" s="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W29" s="3"/>
      <c r="X29" s="4"/>
      <c r="Z29" s="7"/>
      <c r="AA29" s="4"/>
      <c r="AB29" s="3"/>
    </row>
    <row r="30" customFormat="false" ht="15.75" hidden="false" customHeight="false" outlineLevel="0" collapsed="false">
      <c r="A30" s="3"/>
      <c r="B30" s="3"/>
      <c r="C30" s="3"/>
      <c r="D30" s="3"/>
      <c r="E30" s="4"/>
      <c r="F30" s="4"/>
      <c r="G30" s="5"/>
      <c r="H30" s="6"/>
      <c r="K30" s="3"/>
      <c r="L30" s="15"/>
      <c r="M30" s="25"/>
      <c r="N30" s="23"/>
      <c r="O30" s="23"/>
      <c r="P30" s="23"/>
      <c r="Q30" s="23"/>
      <c r="R30" s="23"/>
      <c r="S30" s="23"/>
      <c r="T30" s="23"/>
      <c r="U30" s="23"/>
      <c r="W30" s="3"/>
      <c r="X30" s="4"/>
      <c r="Z30" s="7"/>
      <c r="AA30" s="4"/>
      <c r="AB30" s="3"/>
    </row>
    <row r="31" customFormat="false" ht="15.75" hidden="false" customHeight="false" outlineLevel="0" collapsed="false">
      <c r="A31" s="3"/>
      <c r="B31" s="3"/>
      <c r="C31" s="3"/>
      <c r="D31" s="3"/>
      <c r="E31" s="4"/>
      <c r="F31" s="4"/>
      <c r="G31" s="5"/>
      <c r="H31" s="6"/>
      <c r="K31" s="10" t="s">
        <v>17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1" t="s">
        <v>18</v>
      </c>
      <c r="X31" s="4"/>
      <c r="Z31" s="7"/>
      <c r="AA31" s="4"/>
      <c r="AB31" s="3"/>
    </row>
    <row r="32" customFormat="false" ht="26.85" hidden="false" customHeight="false" outlineLevel="0" collapsed="false">
      <c r="A32" s="11"/>
      <c r="B32" s="11" t="s">
        <v>19</v>
      </c>
      <c r="C32" s="3"/>
      <c r="D32" s="3"/>
      <c r="E32" s="4"/>
      <c r="F32" s="4"/>
      <c r="G32" s="5"/>
      <c r="H32" s="6"/>
      <c r="K32" s="38"/>
      <c r="L32" s="15" t="s">
        <v>5</v>
      </c>
      <c r="M32" s="16" t="n">
        <v>0</v>
      </c>
      <c r="N32" s="13" t="n">
        <v>2000</v>
      </c>
      <c r="O32" s="13" t="n">
        <v>4000</v>
      </c>
      <c r="P32" s="13" t="n">
        <v>6000</v>
      </c>
      <c r="Q32" s="13" t="n">
        <v>8000</v>
      </c>
      <c r="R32" s="13" t="n">
        <v>10000</v>
      </c>
      <c r="S32" s="13" t="n">
        <v>12000</v>
      </c>
      <c r="T32" s="13" t="n">
        <v>14000</v>
      </c>
      <c r="U32" s="17" t="n">
        <v>16000</v>
      </c>
      <c r="W32" s="3" t="s">
        <v>6</v>
      </c>
      <c r="X32" s="4"/>
      <c r="Z32" s="7"/>
      <c r="AA32" s="4"/>
      <c r="AB32" s="3"/>
    </row>
    <row r="33" customFormat="false" ht="26.85" hidden="false" customHeight="false" outlineLevel="0" collapsed="false">
      <c r="A33" s="3"/>
      <c r="B33" s="3" t="s">
        <v>6</v>
      </c>
      <c r="C33" s="3" t="s">
        <v>7</v>
      </c>
      <c r="D33" s="3" t="s">
        <v>8</v>
      </c>
      <c r="E33" s="4" t="s">
        <v>9</v>
      </c>
      <c r="F33" s="4" t="s">
        <v>10</v>
      </c>
      <c r="G33" s="5" t="s">
        <v>11</v>
      </c>
      <c r="H33" s="6" t="s">
        <v>12</v>
      </c>
      <c r="K33" s="20" t="s">
        <v>6</v>
      </c>
      <c r="L33" s="13" t="s">
        <v>7</v>
      </c>
      <c r="M33" s="19" t="s">
        <v>9</v>
      </c>
      <c r="N33" s="19" t="s">
        <v>9</v>
      </c>
      <c r="O33" s="19" t="s">
        <v>9</v>
      </c>
      <c r="P33" s="19" t="s">
        <v>9</v>
      </c>
      <c r="Q33" s="19" t="s">
        <v>9</v>
      </c>
      <c r="R33" s="19" t="s">
        <v>9</v>
      </c>
      <c r="S33" s="19" t="s">
        <v>9</v>
      </c>
      <c r="T33" s="19" t="s">
        <v>9</v>
      </c>
      <c r="U33" s="21" t="s">
        <v>9</v>
      </c>
      <c r="W33" s="3"/>
      <c r="X33" s="4"/>
      <c r="Y33" s="5"/>
      <c r="Z33" s="4"/>
      <c r="AA33" s="4"/>
      <c r="AB33" s="3"/>
    </row>
    <row r="34" customFormat="false" ht="15.75" hidden="false" customHeight="false" outlineLevel="0" collapsed="false">
      <c r="A34" s="3"/>
      <c r="B34" s="26" t="n">
        <v>102</v>
      </c>
      <c r="C34" s="26" t="n">
        <v>11.7</v>
      </c>
      <c r="D34" s="26" t="n">
        <v>120</v>
      </c>
      <c r="E34" s="4" t="n">
        <f aca="false">D34*1.15</f>
        <v>138</v>
      </c>
      <c r="F34" s="4" t="n">
        <f aca="false">E34/C34</f>
        <v>11.7948717948718</v>
      </c>
      <c r="G34" s="5" t="n">
        <f aca="false">((27-C34*0.75)/C34)*E34</f>
        <v>214.961538461538</v>
      </c>
      <c r="H34" s="6" t="n">
        <f aca="false">G34/E34</f>
        <v>1.55769230769231</v>
      </c>
      <c r="K34" s="27" t="n">
        <f aca="false">B34</f>
        <v>102</v>
      </c>
      <c r="L34" s="3" t="n">
        <f aca="false">C34</f>
        <v>11.7</v>
      </c>
      <c r="M34" s="4" t="n">
        <f aca="false">E34*(1-0.02)^8</f>
        <v>117.405297116286</v>
      </c>
      <c r="N34" s="4" t="n">
        <f aca="false">$M34*(1.02)^(N$6/1000)</f>
        <v>122.148471119784</v>
      </c>
      <c r="O34" s="4" t="n">
        <f aca="false">$M34*(1.02)^(O$6/1000)</f>
        <v>127.083269353024</v>
      </c>
      <c r="P34" s="4" t="n">
        <f aca="false">$M34*(1.02)^(P$6/1000)</f>
        <v>132.217433434886</v>
      </c>
      <c r="Q34" s="4" t="n">
        <f aca="false">$M34*(1.02)^(Q$6/1000)</f>
        <v>137.559017745655</v>
      </c>
      <c r="R34" s="4" t="n">
        <f aca="false">$M34*(1.02)^(R$6/1000)</f>
        <v>143.11640206258</v>
      </c>
      <c r="S34" s="4" t="n">
        <f aca="false">$M34*(1.02)^(S$6/1000)</f>
        <v>148.898304705908</v>
      </c>
      <c r="T34" s="4" t="n">
        <f aca="false">$M34*(1.02)^(T$6/1000)</f>
        <v>154.913796216027</v>
      </c>
      <c r="U34" s="28" t="n">
        <f aca="false">$M34*(1.02)^(U$6/1000)</f>
        <v>161.172313583154</v>
      </c>
      <c r="W34" s="3" t="n">
        <f aca="false">B34</f>
        <v>102</v>
      </c>
      <c r="X34" s="4" t="n">
        <f aca="false">P34/L34</f>
        <v>11.300635336315</v>
      </c>
      <c r="Y34" s="5" t="n">
        <f aca="false">((27-L34*0.75)/L34)*P34</f>
        <v>205.954079004341</v>
      </c>
      <c r="Z34" s="4" t="n">
        <f aca="false">Y34/P34</f>
        <v>1.55769230769231</v>
      </c>
      <c r="AA34" s="4" t="n">
        <f aca="false">ROUNDDOWN(1200/Y34,0)*0.5+1200/P34</f>
        <v>11.5759589626354</v>
      </c>
      <c r="AB34" s="3" t="n">
        <f aca="false">ROUNDDOWN(1200/Y34,0)</f>
        <v>5</v>
      </c>
    </row>
    <row r="35" customFormat="false" ht="15.75" hidden="false" customHeight="false" outlineLevel="0" collapsed="false">
      <c r="A35" s="3"/>
      <c r="B35" s="26" t="n">
        <v>90</v>
      </c>
      <c r="C35" s="26" t="n">
        <v>9.9</v>
      </c>
      <c r="D35" s="26" t="n">
        <v>115</v>
      </c>
      <c r="E35" s="4" t="n">
        <f aca="false">D35*1.15</f>
        <v>132.25</v>
      </c>
      <c r="F35" s="4" t="n">
        <f aca="false">E35/C35</f>
        <v>13.3585858585859</v>
      </c>
      <c r="G35" s="5" t="n">
        <f aca="false">((27-C35*0.75)/C35)*E35</f>
        <v>261.494318181818</v>
      </c>
      <c r="H35" s="6" t="n">
        <f aca="false">G35/E35</f>
        <v>1.97727272727273</v>
      </c>
      <c r="K35" s="27" t="n">
        <f aca="false">B35</f>
        <v>90</v>
      </c>
      <c r="L35" s="3" t="n">
        <f aca="false">C35</f>
        <v>9.9</v>
      </c>
      <c r="M35" s="4" t="n">
        <f aca="false">E35*(1-0.02)^8</f>
        <v>112.513409736441</v>
      </c>
      <c r="N35" s="4" t="n">
        <f aca="false">$M35*(1.02)^(N$6/1000)</f>
        <v>117.058951489793</v>
      </c>
      <c r="O35" s="4" t="n">
        <f aca="false">$M35*(1.02)^(O$6/1000)</f>
        <v>121.788133129981</v>
      </c>
      <c r="P35" s="4" t="n">
        <f aca="false">$M35*(1.02)^(P$6/1000)</f>
        <v>126.708373708432</v>
      </c>
      <c r="Q35" s="4" t="n">
        <f aca="false">$M35*(1.02)^(Q$6/1000)</f>
        <v>131.827392006253</v>
      </c>
      <c r="R35" s="4" t="n">
        <f aca="false">$M35*(1.02)^(R$6/1000)</f>
        <v>137.153218643306</v>
      </c>
      <c r="S35" s="4" t="n">
        <f aca="false">$M35*(1.02)^(S$6/1000)</f>
        <v>142.694208676495</v>
      </c>
      <c r="T35" s="4" t="n">
        <f aca="false">$M35*(1.02)^(T$6/1000)</f>
        <v>148.459054707026</v>
      </c>
      <c r="U35" s="28" t="n">
        <f aca="false">$M35*(1.02)^(U$6/1000)</f>
        <v>154.456800517189</v>
      </c>
      <c r="W35" s="3" t="n">
        <v>90</v>
      </c>
      <c r="X35" s="4" t="n">
        <f aca="false">P35/L35</f>
        <v>12.7988256271144</v>
      </c>
      <c r="Y35" s="5" t="n">
        <f aca="false">((27-L35*0.75)/L35)*P35</f>
        <v>250.537011650764</v>
      </c>
      <c r="Z35" s="4" t="n">
        <f aca="false">Y35/P35</f>
        <v>1.97727272727273</v>
      </c>
      <c r="AA35" s="4" t="n">
        <f aca="false">ROUNDDOWN(1200/Y35,0)*0.5+1200/P35</f>
        <v>11.4705658740543</v>
      </c>
      <c r="AB35" s="3" t="n">
        <f aca="false">ROUNDDOWN(1200/Y35,0)</f>
        <v>4</v>
      </c>
    </row>
    <row r="36" customFormat="false" ht="15.75" hidden="false" customHeight="false" outlineLevel="0" collapsed="false">
      <c r="A36" s="3"/>
      <c r="B36" s="26" t="n">
        <v>80</v>
      </c>
      <c r="C36" s="26" t="n">
        <v>7.8</v>
      </c>
      <c r="D36" s="26" t="n">
        <v>110</v>
      </c>
      <c r="E36" s="4" t="n">
        <f aca="false">D36*1.15</f>
        <v>126.5</v>
      </c>
      <c r="F36" s="4" t="n">
        <f aca="false">E36/C36</f>
        <v>16.2179487179487</v>
      </c>
      <c r="G36" s="5" t="n">
        <f aca="false">((27-C36*0.75)/C36)*E36</f>
        <v>343.009615384615</v>
      </c>
      <c r="H36" s="6" t="n">
        <f aca="false">G36/E36</f>
        <v>2.71153846153846</v>
      </c>
      <c r="K36" s="27" t="n">
        <f aca="false">B36</f>
        <v>80</v>
      </c>
      <c r="L36" s="3" t="n">
        <f aca="false">C36</f>
        <v>7.8</v>
      </c>
      <c r="M36" s="4" t="n">
        <f aca="false">E36*(1-0.02)^8</f>
        <v>107.621522356596</v>
      </c>
      <c r="N36" s="4" t="n">
        <f aca="false">$M36*(1.02)^(N$6/1000)</f>
        <v>111.969431859802</v>
      </c>
      <c r="O36" s="4" t="n">
        <f aca="false">$M36*(1.02)^(O$6/1000)</f>
        <v>116.492996906938</v>
      </c>
      <c r="P36" s="4" t="n">
        <f aca="false">$M36*(1.02)^(P$6/1000)</f>
        <v>121.199313981979</v>
      </c>
      <c r="Q36" s="4" t="n">
        <f aca="false">$M36*(1.02)^(Q$6/1000)</f>
        <v>126.095766266851</v>
      </c>
      <c r="R36" s="4" t="n">
        <f aca="false">$M36*(1.02)^(R$6/1000)</f>
        <v>131.190035224031</v>
      </c>
      <c r="S36" s="4" t="n">
        <f aca="false">$M36*(1.02)^(S$6/1000)</f>
        <v>136.490112647082</v>
      </c>
      <c r="T36" s="4" t="n">
        <f aca="false">$M36*(1.02)^(T$6/1000)</f>
        <v>142.004313198024</v>
      </c>
      <c r="U36" s="28" t="n">
        <f aca="false">$M36*(1.02)^(U$6/1000)</f>
        <v>147.741287451225</v>
      </c>
      <c r="W36" s="3" t="n">
        <v>80</v>
      </c>
      <c r="X36" s="4" t="n">
        <f aca="false">P36/L36</f>
        <v>15.5383735874332</v>
      </c>
      <c r="Y36" s="5" t="n">
        <f aca="false">((27-L36*0.75)/L36)*P36</f>
        <v>328.636601374211</v>
      </c>
      <c r="Z36" s="4" t="n">
        <f aca="false">Y36/P36</f>
        <v>2.71153846153846</v>
      </c>
      <c r="AA36" s="4" t="n">
        <f aca="false">ROUNDDOWN(1200/Y36,0)*0.5+1200/P36</f>
        <v>11.4010461410568</v>
      </c>
      <c r="AB36" s="3" t="n">
        <f aca="false">ROUNDDOWN(1200/Y36,0)</f>
        <v>3</v>
      </c>
    </row>
    <row r="37" customFormat="false" ht="15.75" hidden="false" customHeight="false" outlineLevel="0" collapsed="false">
      <c r="A37" s="3"/>
      <c r="B37" s="26" t="n">
        <v>70</v>
      </c>
      <c r="C37" s="26" t="n">
        <v>6.6</v>
      </c>
      <c r="D37" s="26" t="n">
        <v>104</v>
      </c>
      <c r="E37" s="4" t="n">
        <f aca="false">D37*1.15</f>
        <v>119.6</v>
      </c>
      <c r="F37" s="4" t="n">
        <f aca="false">E37/C37</f>
        <v>18.1212121212121</v>
      </c>
      <c r="G37" s="5" t="n">
        <f aca="false">((27-C37*0.75)/C37)*E37</f>
        <v>399.572727272727</v>
      </c>
      <c r="H37" s="6" t="n">
        <f aca="false">G37/E37</f>
        <v>3.34090909090909</v>
      </c>
      <c r="K37" s="27" t="n">
        <f aca="false">B37</f>
        <v>70</v>
      </c>
      <c r="L37" s="3" t="n">
        <f aca="false">C37</f>
        <v>6.6</v>
      </c>
      <c r="M37" s="4" t="n">
        <f aca="false">E37*(1-0.02)^8</f>
        <v>101.751257500782</v>
      </c>
      <c r="N37" s="4" t="n">
        <f aca="false">$M37*(1.02)^(N$6/1000)</f>
        <v>105.862008303813</v>
      </c>
      <c r="O37" s="4" t="n">
        <f aca="false">$M37*(1.02)^(O$6/1000)</f>
        <v>110.138833439287</v>
      </c>
      <c r="P37" s="4" t="n">
        <f aca="false">$M37*(1.02)^(P$6/1000)</f>
        <v>114.588442310234</v>
      </c>
      <c r="Q37" s="4" t="n">
        <f aca="false">$M37*(1.02)^(Q$6/1000)</f>
        <v>119.217815379568</v>
      </c>
      <c r="R37" s="4" t="n">
        <f aca="false">$M37*(1.02)^(R$6/1000)</f>
        <v>124.034215120902</v>
      </c>
      <c r="S37" s="4" t="n">
        <f aca="false">$M37*(1.02)^(S$6/1000)</f>
        <v>129.045197411787</v>
      </c>
      <c r="T37" s="4" t="n">
        <f aca="false">$M37*(1.02)^(T$6/1000)</f>
        <v>134.258623387223</v>
      </c>
      <c r="U37" s="28" t="n">
        <f aca="false">$M37*(1.02)^(U$6/1000)</f>
        <v>139.682671772067</v>
      </c>
      <c r="W37" s="3" t="n">
        <v>70</v>
      </c>
      <c r="X37" s="4" t="n">
        <f aca="false">P37/L37</f>
        <v>17.3618851985204</v>
      </c>
      <c r="Y37" s="5" t="n">
        <f aca="false">((27-L37*0.75)/L37)*P37</f>
        <v>382.829568627374</v>
      </c>
      <c r="Z37" s="4" t="n">
        <f aca="false">Y37/P37</f>
        <v>3.34090909090909</v>
      </c>
      <c r="AA37" s="4" t="n">
        <f aca="false">ROUNDDOWN(1200/Y37,0)*0.5+1200/P37</f>
        <v>11.9722603415024</v>
      </c>
      <c r="AB37" s="3" t="n">
        <f aca="false">ROUNDDOWN(1200/Y37,0)</f>
        <v>3</v>
      </c>
    </row>
    <row r="38" customFormat="false" ht="15.75" hidden="false" customHeight="false" outlineLevel="0" collapsed="false">
      <c r="A38" s="3"/>
      <c r="B38" s="26" t="n">
        <v>60</v>
      </c>
      <c r="C38" s="26" t="n">
        <v>5.8</v>
      </c>
      <c r="D38" s="26" t="n">
        <v>98</v>
      </c>
      <c r="E38" s="4" t="n">
        <f aca="false">D38*1.15</f>
        <v>112.7</v>
      </c>
      <c r="F38" s="4" t="n">
        <f aca="false">E38/C38</f>
        <v>19.4310344827586</v>
      </c>
      <c r="G38" s="5" t="n">
        <f aca="false">((27-C38*0.75)/C38)*E38</f>
        <v>440.112931034483</v>
      </c>
      <c r="H38" s="6" t="n">
        <f aca="false">G38/E38</f>
        <v>3.9051724137931</v>
      </c>
      <c r="K38" s="27" t="n">
        <f aca="false">B38</f>
        <v>60</v>
      </c>
      <c r="L38" s="3" t="n">
        <f aca="false">C38</f>
        <v>5.8</v>
      </c>
      <c r="M38" s="29" t="n">
        <f aca="false">E38*(1-0.02)^8</f>
        <v>95.8809926449672</v>
      </c>
      <c r="N38" s="29" t="n">
        <f aca="false">$M38*(1.02)^(N$6/1000)</f>
        <v>99.7545847478239</v>
      </c>
      <c r="O38" s="29" t="n">
        <f aca="false">$M38*(1.02)^(O$6/1000)</f>
        <v>103.784669971636</v>
      </c>
      <c r="P38" s="29" t="n">
        <f aca="false">$M38*(1.02)^(P$6/1000)</f>
        <v>107.97757063849</v>
      </c>
      <c r="Q38" s="29" t="n">
        <f aca="false">$M38*(1.02)^(Q$6/1000)</f>
        <v>112.339864492285</v>
      </c>
      <c r="R38" s="29" t="n">
        <f aca="false">$M38*(1.02)^(R$6/1000)</f>
        <v>116.878395017773</v>
      </c>
      <c r="S38" s="29" t="n">
        <f aca="false">$M38*(1.02)^(S$6/1000)</f>
        <v>121.600282176491</v>
      </c>
      <c r="T38" s="29" t="n">
        <f aca="false">$M38*(1.02)^(T$6/1000)</f>
        <v>126.512933576422</v>
      </c>
      <c r="U38" s="30" t="n">
        <f aca="false">$M38*(1.02)^(U$6/1000)</f>
        <v>131.624056092909</v>
      </c>
      <c r="W38" s="3" t="n">
        <v>60</v>
      </c>
      <c r="X38" s="29" t="n">
        <f aca="false">P38/L38</f>
        <v>18.6168225238776</v>
      </c>
      <c r="Y38" s="31" t="n">
        <f aca="false">((27-L38*0.75)/L38)*P38</f>
        <v>421.671030165828</v>
      </c>
      <c r="Z38" s="29" t="n">
        <f aca="false">Y38/P38</f>
        <v>3.9051724137931</v>
      </c>
      <c r="AA38" s="29" t="n">
        <f aca="false">ROUNDDOWN(1200/Y38,0)*0.5+1200/P38</f>
        <v>12.1134191379209</v>
      </c>
      <c r="AB38" s="32" t="n">
        <f aca="false">ROUNDDOWN(1200/Y38,0)</f>
        <v>2</v>
      </c>
    </row>
    <row r="39" customFormat="false" ht="15.75" hidden="false" customHeight="false" outlineLevel="0" collapsed="false">
      <c r="A39" s="3"/>
      <c r="B39" s="26" t="n">
        <v>50</v>
      </c>
      <c r="C39" s="26" t="n">
        <v>4.9</v>
      </c>
      <c r="D39" s="26" t="n">
        <v>90</v>
      </c>
      <c r="E39" s="4" t="n">
        <f aca="false">D39*1.15</f>
        <v>103.5</v>
      </c>
      <c r="F39" s="4" t="n">
        <f aca="false">E39/C39</f>
        <v>21.1224489795918</v>
      </c>
      <c r="G39" s="5" t="n">
        <f aca="false">((27-C39*0.75)/C39)*E39</f>
        <v>492.681122448979</v>
      </c>
      <c r="H39" s="6" t="n">
        <f aca="false">G39/E39</f>
        <v>4.76020408163265</v>
      </c>
      <c r="K39" s="27" t="n">
        <f aca="false">B39</f>
        <v>50</v>
      </c>
      <c r="L39" s="3" t="n">
        <f aca="false">C39</f>
        <v>4.9</v>
      </c>
      <c r="M39" s="4" t="n">
        <f aca="false">E39*(1-0.02)^8</f>
        <v>88.0539728372148</v>
      </c>
      <c r="N39" s="4" t="n">
        <f aca="false">$M39*(1.02)^(N$6/1000)</f>
        <v>91.6113533398383</v>
      </c>
      <c r="O39" s="4" t="n">
        <f aca="false">$M39*(1.02)^(O$6/1000)</f>
        <v>95.3124520147677</v>
      </c>
      <c r="P39" s="4" t="n">
        <f aca="false">$M39*(1.02)^(P$6/1000)</f>
        <v>99.1630750761644</v>
      </c>
      <c r="Q39" s="4" t="n">
        <f aca="false">$M39*(1.02)^(Q$6/1000)</f>
        <v>103.169263309241</v>
      </c>
      <c r="R39" s="4" t="n">
        <f aca="false">$M39*(1.02)^(R$6/1000)</f>
        <v>107.337301546935</v>
      </c>
      <c r="S39" s="4" t="n">
        <f aca="false">$M39*(1.02)^(S$6/1000)</f>
        <v>111.673728529431</v>
      </c>
      <c r="T39" s="4" t="n">
        <f aca="false">$M39*(1.02)^(T$6/1000)</f>
        <v>116.18534716202</v>
      </c>
      <c r="U39" s="28" t="n">
        <f aca="false">$M39*(1.02)^(U$6/1000)</f>
        <v>120.879235187366</v>
      </c>
      <c r="W39" s="3" t="n">
        <v>50</v>
      </c>
      <c r="X39" s="4" t="n">
        <f aca="false">P39/L39</f>
        <v>20.2373622604417</v>
      </c>
      <c r="Y39" s="5" t="n">
        <f aca="false">((27-L39*0.75)/L39)*P39</f>
        <v>472.036474724803</v>
      </c>
      <c r="Z39" s="4" t="n">
        <f aca="false">Y39/P39</f>
        <v>4.76020408163265</v>
      </c>
      <c r="AA39" s="4" t="n">
        <f aca="false">ROUNDDOWN(1200/Y39,0)*0.5+1200/P39</f>
        <v>13.1012786168472</v>
      </c>
      <c r="AB39" s="3" t="n">
        <f aca="false">ROUNDDOWN(1200/Y39,0)</f>
        <v>2</v>
      </c>
    </row>
    <row r="40" customFormat="false" ht="15.75" hidden="false" customHeight="false" outlineLevel="0" collapsed="false">
      <c r="A40" s="3"/>
      <c r="B40" s="26" t="n">
        <v>40</v>
      </c>
      <c r="C40" s="26" t="n">
        <v>4</v>
      </c>
      <c r="D40" s="26" t="n">
        <v>81</v>
      </c>
      <c r="E40" s="4" t="n">
        <f aca="false">D40*1.15</f>
        <v>93.15</v>
      </c>
      <c r="F40" s="4" t="n">
        <f aca="false">E40/C40</f>
        <v>23.2875</v>
      </c>
      <c r="G40" s="5" t="n">
        <f aca="false">((27-C40*0.75)/C40)*E40</f>
        <v>558.9</v>
      </c>
      <c r="H40" s="6" t="n">
        <f aca="false">G40/E40</f>
        <v>6</v>
      </c>
      <c r="K40" s="27" t="n">
        <f aca="false">B40</f>
        <v>40</v>
      </c>
      <c r="L40" s="3" t="n">
        <f aca="false">C40</f>
        <v>4</v>
      </c>
      <c r="M40" s="4" t="n">
        <f aca="false">E40*(1-0.02)^8</f>
        <v>79.2485755534933</v>
      </c>
      <c r="N40" s="4" t="n">
        <f aca="false">$M40*(1.02)^(N$6/1000)</f>
        <v>82.4502180058544</v>
      </c>
      <c r="O40" s="4" t="n">
        <f aca="false">$M40*(1.02)^(O$6/1000)</f>
        <v>85.781206813291</v>
      </c>
      <c r="P40" s="4" t="n">
        <f aca="false">$M40*(1.02)^(P$6/1000)</f>
        <v>89.2467675685479</v>
      </c>
      <c r="Q40" s="4" t="n">
        <f aca="false">$M40*(1.02)^(Q$6/1000)</f>
        <v>92.8523369783173</v>
      </c>
      <c r="R40" s="4" t="n">
        <f aca="false">$M40*(1.02)^(R$6/1000)</f>
        <v>96.6035713922413</v>
      </c>
      <c r="S40" s="4" t="n">
        <f aca="false">$M40*(1.02)^(S$6/1000)</f>
        <v>100.506355676488</v>
      </c>
      <c r="T40" s="4" t="n">
        <f aca="false">$M40*(1.02)^(T$6/1000)</f>
        <v>104.566812445818</v>
      </c>
      <c r="U40" s="28" t="n">
        <f aca="false">$M40*(1.02)^(U$6/1000)</f>
        <v>108.791311668629</v>
      </c>
      <c r="W40" s="3" t="n">
        <v>40</v>
      </c>
      <c r="X40" s="4" t="n">
        <f aca="false">P40/L40</f>
        <v>22.311691892137</v>
      </c>
      <c r="Y40" s="5" t="n">
        <f aca="false">((27-L40*0.75)/L40)*P40</f>
        <v>535.480605411288</v>
      </c>
      <c r="Z40" s="4" t="n">
        <f aca="false">Y40/P40</f>
        <v>6</v>
      </c>
      <c r="AA40" s="4" t="n">
        <f aca="false">ROUNDDOWN(1200/Y40,0)*0.5+1200/P40</f>
        <v>14.4458651298302</v>
      </c>
      <c r="AB40" s="3" t="n">
        <f aca="false">ROUNDDOWN(1200/Y40,0)</f>
        <v>2</v>
      </c>
    </row>
    <row r="41" customFormat="false" ht="15.75" hidden="false" customHeight="false" outlineLevel="0" collapsed="false">
      <c r="A41" s="3"/>
      <c r="B41" s="26" t="n">
        <v>30</v>
      </c>
      <c r="C41" s="26" t="n">
        <v>3.2</v>
      </c>
      <c r="D41" s="26" t="n">
        <v>69</v>
      </c>
      <c r="E41" s="4" t="n">
        <f aca="false">D41*1.15</f>
        <v>79.35</v>
      </c>
      <c r="F41" s="4" t="n">
        <f aca="false">E41/C41</f>
        <v>24.796875</v>
      </c>
      <c r="G41" s="5" t="n">
        <f aca="false">((27-C41*0.75)/C41)*E41</f>
        <v>610.003125</v>
      </c>
      <c r="H41" s="6" t="n">
        <f aca="false">G41/E41</f>
        <v>7.6875</v>
      </c>
      <c r="K41" s="33" t="n">
        <f aca="false">B41</f>
        <v>30</v>
      </c>
      <c r="L41" s="34" t="n">
        <f aca="false">C41</f>
        <v>3.2</v>
      </c>
      <c r="M41" s="35" t="n">
        <f aca="false">E41*(1-0.02)^8</f>
        <v>67.5080458418647</v>
      </c>
      <c r="N41" s="35" t="n">
        <f aca="false">$M41*(1.02)^(N$6/1000)</f>
        <v>70.235370893876</v>
      </c>
      <c r="O41" s="35" t="n">
        <f aca="false">$M41*(1.02)^(O$6/1000)</f>
        <v>73.0728798779886</v>
      </c>
      <c r="P41" s="35" t="n">
        <f aca="false">$M41*(1.02)^(P$6/1000)</f>
        <v>76.0250242250593</v>
      </c>
      <c r="Q41" s="35" t="n">
        <f aca="false">$M41*(1.02)^(Q$6/1000)</f>
        <v>79.0964352037517</v>
      </c>
      <c r="R41" s="35" t="n">
        <f aca="false">$M41*(1.02)^(R$6/1000)</f>
        <v>82.2919311859833</v>
      </c>
      <c r="S41" s="35" t="n">
        <f aca="false">$M41*(1.02)^(S$6/1000)</f>
        <v>85.616525205897</v>
      </c>
      <c r="T41" s="35" t="n">
        <f aca="false">$M41*(1.02)^(T$6/1000)</f>
        <v>89.0754328242153</v>
      </c>
      <c r="U41" s="36" t="n">
        <f aca="false">$M41*(1.02)^(U$6/1000)</f>
        <v>92.6740803103136</v>
      </c>
      <c r="W41" s="3" t="n">
        <v>30</v>
      </c>
      <c r="X41" s="4" t="n">
        <f aca="false">P41/L41</f>
        <v>23.757820070331</v>
      </c>
      <c r="Y41" s="5" t="n">
        <f aca="false">((27-L41*0.75)/L41)*P41</f>
        <v>584.442373730144</v>
      </c>
      <c r="Z41" s="4" t="n">
        <f aca="false">Y41/P41</f>
        <v>7.6875</v>
      </c>
      <c r="AA41" s="4" t="n">
        <f aca="false">ROUNDDOWN(1200/Y41,0)*0.5+1200/P41</f>
        <v>16.7842764567572</v>
      </c>
      <c r="AB41" s="3" t="n">
        <f aca="false">ROUNDDOWN(1200/Y41,0)</f>
        <v>2</v>
      </c>
    </row>
    <row r="42" customFormat="false" ht="15.75" hidden="false" customHeight="false" outlineLevel="0" collapsed="false">
      <c r="A42" s="3"/>
      <c r="B42" s="3"/>
      <c r="C42" s="3"/>
      <c r="D42" s="3"/>
      <c r="E42" s="4"/>
      <c r="F42" s="4"/>
      <c r="G42" s="5"/>
      <c r="H42" s="6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W42" s="3"/>
      <c r="X42" s="4"/>
      <c r="Z42" s="7"/>
      <c r="AA42" s="4"/>
      <c r="AB42" s="3"/>
    </row>
    <row r="43" customFormat="false" ht="15.75" hidden="false" customHeight="false" outlineLevel="0" collapsed="false">
      <c r="A43" s="3"/>
      <c r="B43" s="3"/>
      <c r="C43" s="3"/>
      <c r="D43" s="3"/>
      <c r="E43" s="4"/>
      <c r="F43" s="4"/>
      <c r="G43" s="5"/>
      <c r="H43" s="6"/>
      <c r="K43" s="3"/>
      <c r="L43" s="3"/>
      <c r="M43" s="7"/>
      <c r="W43" s="3"/>
      <c r="X43" s="4"/>
      <c r="Z43" s="7"/>
      <c r="AA43" s="4"/>
      <c r="AB43" s="3"/>
    </row>
    <row r="44" customFormat="false" ht="15.75" hidden="false" customHeight="false" outlineLevel="0" collapsed="false">
      <c r="A44" s="3"/>
      <c r="B44" s="3"/>
      <c r="C44" s="3"/>
      <c r="D44" s="3"/>
      <c r="E44" s="4"/>
      <c r="F44" s="4"/>
      <c r="G44" s="5"/>
      <c r="H44" s="6"/>
      <c r="K44" s="10" t="s">
        <v>20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1"/>
      <c r="X44" s="12"/>
      <c r="Z44" s="4"/>
      <c r="AA44" s="3"/>
    </row>
    <row r="45" customFormat="false" ht="26.85" hidden="false" customHeight="false" outlineLevel="0" collapsed="false">
      <c r="A45" s="11"/>
      <c r="B45" s="11" t="s">
        <v>21</v>
      </c>
      <c r="C45" s="3"/>
      <c r="D45" s="3"/>
      <c r="E45" s="4"/>
      <c r="F45" s="4"/>
      <c r="G45" s="5"/>
      <c r="H45" s="6"/>
      <c r="K45" s="38"/>
      <c r="L45" s="15" t="s">
        <v>5</v>
      </c>
      <c r="M45" s="16" t="n">
        <v>0</v>
      </c>
      <c r="N45" s="13" t="n">
        <v>2000</v>
      </c>
      <c r="O45" s="13" t="n">
        <v>4000</v>
      </c>
      <c r="P45" s="13" t="n">
        <v>6000</v>
      </c>
      <c r="Q45" s="13" t="n">
        <v>8000</v>
      </c>
      <c r="R45" s="13" t="n">
        <v>10000</v>
      </c>
      <c r="S45" s="13" t="n">
        <v>12000</v>
      </c>
      <c r="T45" s="13" t="n">
        <v>14000</v>
      </c>
      <c r="U45" s="17" t="n">
        <v>16000</v>
      </c>
      <c r="W45" s="11" t="s">
        <v>22</v>
      </c>
      <c r="X45" s="18"/>
      <c r="Z45" s="7"/>
      <c r="AA45" s="4"/>
      <c r="AB45" s="3"/>
    </row>
    <row r="46" customFormat="false" ht="15.75" hidden="false" customHeight="true" outlineLevel="0" collapsed="false">
      <c r="A46" s="3"/>
      <c r="B46" s="3" t="s">
        <v>6</v>
      </c>
      <c r="C46" s="3" t="s">
        <v>7</v>
      </c>
      <c r="D46" s="3" t="s">
        <v>8</v>
      </c>
      <c r="E46" s="4" t="s">
        <v>9</v>
      </c>
      <c r="F46" s="4" t="s">
        <v>10</v>
      </c>
      <c r="G46" s="5" t="s">
        <v>11</v>
      </c>
      <c r="H46" s="6" t="s">
        <v>12</v>
      </c>
      <c r="K46" s="20" t="s">
        <v>6</v>
      </c>
      <c r="L46" s="13" t="s">
        <v>7</v>
      </c>
      <c r="M46" s="19" t="s">
        <v>9</v>
      </c>
      <c r="N46" s="19" t="s">
        <v>9</v>
      </c>
      <c r="O46" s="19" t="s">
        <v>9</v>
      </c>
      <c r="P46" s="19" t="s">
        <v>9</v>
      </c>
      <c r="Q46" s="19" t="s">
        <v>9</v>
      </c>
      <c r="R46" s="19" t="s">
        <v>9</v>
      </c>
      <c r="S46" s="19" t="s">
        <v>9</v>
      </c>
      <c r="T46" s="19" t="s">
        <v>9</v>
      </c>
      <c r="U46" s="21" t="s">
        <v>9</v>
      </c>
      <c r="W46" s="3" t="s">
        <v>6</v>
      </c>
      <c r="X46" s="24" t="s">
        <v>10</v>
      </c>
      <c r="Y46" s="25" t="s">
        <v>11</v>
      </c>
      <c r="Z46" s="24" t="s">
        <v>12</v>
      </c>
      <c r="AA46" s="19" t="s">
        <v>13</v>
      </c>
      <c r="AB46" s="13" t="s">
        <v>14</v>
      </c>
    </row>
    <row r="47" customFormat="false" ht="15.75" hidden="false" customHeight="false" outlineLevel="0" collapsed="false">
      <c r="A47" s="3"/>
      <c r="B47" s="26" t="n">
        <v>95</v>
      </c>
      <c r="C47" s="26" t="n">
        <v>10.6</v>
      </c>
      <c r="D47" s="26" t="n">
        <v>115</v>
      </c>
      <c r="E47" s="4" t="n">
        <f aca="false">D47*1.15</f>
        <v>132.25</v>
      </c>
      <c r="F47" s="4" t="n">
        <f aca="false">E47/C47</f>
        <v>12.4764150943396</v>
      </c>
      <c r="G47" s="5" t="n">
        <f aca="false">((27-C47*0.75)/C47)*E47</f>
        <v>237.67570754717</v>
      </c>
      <c r="H47" s="6" t="n">
        <f aca="false">G47/E47</f>
        <v>1.79716981132075</v>
      </c>
      <c r="K47" s="27" t="n">
        <f aca="false">B47</f>
        <v>95</v>
      </c>
      <c r="L47" s="3" t="n">
        <f aca="false">C47</f>
        <v>10.6</v>
      </c>
      <c r="M47" s="4" t="n">
        <f aca="false">E47*(1-0.02)^8</f>
        <v>112.513409736441</v>
      </c>
      <c r="N47" s="4" t="n">
        <f aca="false">$M47*(1.02)^(N$6/1000)</f>
        <v>117.058951489793</v>
      </c>
      <c r="O47" s="4" t="n">
        <f aca="false">$M47*(1.02)^(O$6/1000)</f>
        <v>121.788133129981</v>
      </c>
      <c r="P47" s="4" t="n">
        <f aca="false">$M47*(1.02)^(P$6/1000)</f>
        <v>126.708373708432</v>
      </c>
      <c r="Q47" s="4" t="n">
        <f aca="false">$M47*(1.02)^(Q$6/1000)</f>
        <v>131.827392006253</v>
      </c>
      <c r="R47" s="4" t="n">
        <f aca="false">$M47*(1.02)^(R$6/1000)</f>
        <v>137.153218643306</v>
      </c>
      <c r="S47" s="4" t="n">
        <f aca="false">$M47*(1.02)^(S$6/1000)</f>
        <v>142.694208676495</v>
      </c>
      <c r="T47" s="4" t="n">
        <f aca="false">$M47*(1.02)^(T$6/1000)</f>
        <v>148.459054707026</v>
      </c>
      <c r="U47" s="28" t="n">
        <f aca="false">$M47*(1.02)^(U$6/1000)</f>
        <v>154.456800517189</v>
      </c>
      <c r="W47" s="3" t="n">
        <f aca="false">B47</f>
        <v>95</v>
      </c>
      <c r="X47" s="4" t="n">
        <f aca="false">P47/L47</f>
        <v>11.9536201611729</v>
      </c>
      <c r="Y47" s="5" t="n">
        <f aca="false">((27-L47*0.75)/L47)*P47</f>
        <v>227.716464070343</v>
      </c>
      <c r="Z47" s="4" t="n">
        <f aca="false">Y47/P47</f>
        <v>1.79716981132075</v>
      </c>
      <c r="AA47" s="4" t="n">
        <f aca="false">ROUNDDOWN(1200/Y47,0)*0.5+1200/P47</f>
        <v>11.9705658740543</v>
      </c>
      <c r="AB47" s="3" t="n">
        <f aca="false">ROUNDDOWN(1200/Y47,0)</f>
        <v>5</v>
      </c>
    </row>
    <row r="48" customFormat="false" ht="15.75" hidden="false" customHeight="false" outlineLevel="0" collapsed="false">
      <c r="A48" s="3"/>
      <c r="B48" s="26" t="n">
        <v>90</v>
      </c>
      <c r="C48" s="26" t="n">
        <v>9.4</v>
      </c>
      <c r="D48" s="26" t="n">
        <v>112</v>
      </c>
      <c r="E48" s="4" t="n">
        <v>128.8</v>
      </c>
      <c r="F48" s="4" t="n">
        <v>13.8815002300966</v>
      </c>
      <c r="G48" s="5" t="n">
        <v>273.357446808511</v>
      </c>
      <c r="H48" s="6" t="n">
        <v>2.16992636907501</v>
      </c>
      <c r="K48" s="27" t="n">
        <f aca="false">B48</f>
        <v>90</v>
      </c>
      <c r="L48" s="3" t="n">
        <f aca="false">C48</f>
        <v>9.4</v>
      </c>
      <c r="M48" s="4" t="n">
        <f aca="false">E48*(1-0.02)^8</f>
        <v>109.578277308534</v>
      </c>
      <c r="N48" s="4" t="n">
        <f aca="false">$M48*(1.02)^(N$6/1000)</f>
        <v>114.005239711799</v>
      </c>
      <c r="O48" s="4" t="n">
        <f aca="false">$M48*(1.02)^(O$6/1000)</f>
        <v>118.611051396155</v>
      </c>
      <c r="P48" s="4" t="n">
        <f aca="false">$M48*(1.02)^(P$6/1000)</f>
        <v>123.40293787256</v>
      </c>
      <c r="Q48" s="4" t="n">
        <f aca="false">$M48*(1.02)^(Q$6/1000)</f>
        <v>128.388416562612</v>
      </c>
      <c r="R48" s="4" t="n">
        <f aca="false">$M48*(1.02)^(R$6/1000)</f>
        <v>133.575308591741</v>
      </c>
      <c r="S48" s="4" t="n">
        <f aca="false">$M48*(1.02)^(S$6/1000)</f>
        <v>138.971751058847</v>
      </c>
      <c r="T48" s="4" t="n">
        <f aca="false">$M48*(1.02)^(T$6/1000)</f>
        <v>144.586209801625</v>
      </c>
      <c r="U48" s="28" t="n">
        <f aca="false">$M48*(1.02)^(U$6/1000)</f>
        <v>150.427492677611</v>
      </c>
      <c r="W48" s="3" t="n">
        <v>90</v>
      </c>
      <c r="X48" s="4" t="n">
        <f aca="false">P48/L48</f>
        <v>13.1279721141021</v>
      </c>
      <c r="Y48" s="5" t="n">
        <f aca="false">((27-L48*0.75)/L48)*P48</f>
        <v>261.903043676338</v>
      </c>
      <c r="Z48" s="4" t="n">
        <f aca="false">Y48/P48</f>
        <v>2.12234042553192</v>
      </c>
      <c r="AA48" s="4" t="n">
        <f aca="false">ROUNDDOWN(1200/Y48,0)*0.5+1200/P48</f>
        <v>11.7242417456808</v>
      </c>
      <c r="AB48" s="3" t="n">
        <f aca="false">ROUNDDOWN(1200/Y48,0)</f>
        <v>4</v>
      </c>
    </row>
    <row r="49" customFormat="false" ht="15.75" hidden="false" customHeight="false" outlineLevel="0" collapsed="false">
      <c r="A49" s="3"/>
      <c r="B49" s="26" t="n">
        <v>80</v>
      </c>
      <c r="C49" s="26" t="n">
        <v>7.75</v>
      </c>
      <c r="D49" s="26" t="n">
        <v>105</v>
      </c>
      <c r="E49" s="4" t="n">
        <v>120.75</v>
      </c>
      <c r="F49" s="4" t="n">
        <v>15.5987721349816</v>
      </c>
      <c r="G49" s="5" t="n">
        <v>330.114919354839</v>
      </c>
      <c r="H49" s="6" t="n">
        <v>2.74565653190779</v>
      </c>
      <c r="K49" s="27" t="n">
        <f aca="false">B49</f>
        <v>80</v>
      </c>
      <c r="L49" s="3" t="n">
        <f aca="false">C49</f>
        <v>7.75</v>
      </c>
      <c r="M49" s="4" t="n">
        <f aca="false">E49*(1-0.02)^8</f>
        <v>102.729634976751</v>
      </c>
      <c r="N49" s="4" t="n">
        <f aca="false">$M49*(1.02)^(N$6/1000)</f>
        <v>106.879912229811</v>
      </c>
      <c r="O49" s="4" t="n">
        <f aca="false">$M49*(1.02)^(O$6/1000)</f>
        <v>111.197860683896</v>
      </c>
      <c r="P49" s="4" t="n">
        <f aca="false">$M49*(1.02)^(P$6/1000)</f>
        <v>115.690254255525</v>
      </c>
      <c r="Q49" s="4" t="n">
        <f aca="false">$M49*(1.02)^(Q$6/1000)</f>
        <v>120.364140527448</v>
      </c>
      <c r="R49" s="4" t="n">
        <f aca="false">$M49*(1.02)^(R$6/1000)</f>
        <v>125.226851804757</v>
      </c>
      <c r="S49" s="4" t="n">
        <f aca="false">$M49*(1.02)^(S$6/1000)</f>
        <v>130.286016617669</v>
      </c>
      <c r="T49" s="4" t="n">
        <f aca="false">$M49*(1.02)^(T$6/1000)</f>
        <v>135.549571689023</v>
      </c>
      <c r="U49" s="28" t="n">
        <f aca="false">$M49*(1.02)^(U$6/1000)</f>
        <v>141.02577438526</v>
      </c>
      <c r="W49" s="3" t="n">
        <v>80</v>
      </c>
      <c r="X49" s="4" t="n">
        <f aca="false">P49/L49</f>
        <v>14.9277747426484</v>
      </c>
      <c r="Y49" s="5" t="n">
        <f aca="false">((27-L49*0.75)/L49)*P49</f>
        <v>316.282227359863</v>
      </c>
      <c r="Z49" s="4" t="n">
        <f aca="false">Y49/P49</f>
        <v>2.73387096774194</v>
      </c>
      <c r="AA49" s="4" t="n">
        <f aca="false">ROUNDDOWN(1200/Y49,0)*0.5+1200/P49</f>
        <v>11.8725245287262</v>
      </c>
      <c r="AB49" s="3" t="n">
        <f aca="false">ROUNDDOWN(1200/Y49,0)</f>
        <v>3</v>
      </c>
    </row>
    <row r="50" customFormat="false" ht="15.75" hidden="false" customHeight="false" outlineLevel="0" collapsed="false">
      <c r="A50" s="3"/>
      <c r="B50" s="26" t="n">
        <v>70</v>
      </c>
      <c r="C50" s="26" t="n">
        <v>6.7</v>
      </c>
      <c r="D50" s="26" t="n">
        <v>97</v>
      </c>
      <c r="E50" s="4" t="n">
        <v>111.55</v>
      </c>
      <c r="F50" s="4" t="n">
        <v>16.7218728946777</v>
      </c>
      <c r="G50" s="5" t="n">
        <v>365.867350746269</v>
      </c>
      <c r="H50" s="6" t="n">
        <v>3.31242982259151</v>
      </c>
      <c r="K50" s="27" t="n">
        <f aca="false">B50</f>
        <v>70</v>
      </c>
      <c r="L50" s="3" t="n">
        <f aca="false">C50</f>
        <v>6.7</v>
      </c>
      <c r="M50" s="4" t="n">
        <f aca="false">E50*(1-0.02)^8</f>
        <v>94.9026151689982</v>
      </c>
      <c r="N50" s="4" t="n">
        <f aca="false">$M50*(1.02)^(N$6/1000)</f>
        <v>98.7366808218257</v>
      </c>
      <c r="O50" s="4" t="n">
        <f aca="false">$M50*(1.02)^(O$6/1000)</f>
        <v>102.725642727027</v>
      </c>
      <c r="P50" s="4" t="n">
        <f aca="false">$M50*(1.02)^(P$6/1000)</f>
        <v>106.875758693199</v>
      </c>
      <c r="Q50" s="4" t="n">
        <f aca="false">$M50*(1.02)^(Q$6/1000)</f>
        <v>111.193539344405</v>
      </c>
      <c r="R50" s="4" t="n">
        <f aca="false">$M50*(1.02)^(R$6/1000)</f>
        <v>115.685758333919</v>
      </c>
      <c r="S50" s="4" t="n">
        <f aca="false">$M50*(1.02)^(S$6/1000)</f>
        <v>120.359462970609</v>
      </c>
      <c r="T50" s="4" t="n">
        <f aca="false">$M50*(1.02)^(T$6/1000)</f>
        <v>125.221985274621</v>
      </c>
      <c r="U50" s="28" t="n">
        <f aca="false">$M50*(1.02)^(U$6/1000)</f>
        <v>130.280953479716</v>
      </c>
      <c r="W50" s="3" t="n">
        <v>70</v>
      </c>
      <c r="X50" s="4" t="n">
        <f aca="false">P50/L50</f>
        <v>15.9516057751044</v>
      </c>
      <c r="Y50" s="5" t="n">
        <f aca="false">((27-L50*0.75)/L50)*P50</f>
        <v>350.536536907919</v>
      </c>
      <c r="Z50" s="4" t="n">
        <f aca="false">Y50/P50</f>
        <v>3.27985074626866</v>
      </c>
      <c r="AA50" s="4" t="n">
        <f aca="false">ROUNDDOWN(1200/Y50,0)*0.5+1200/P50</f>
        <v>12.7279904692397</v>
      </c>
      <c r="AB50" s="3" t="n">
        <f aca="false">ROUNDDOWN(1200/Y50,0)</f>
        <v>3</v>
      </c>
    </row>
    <row r="51" customFormat="false" ht="15.75" hidden="false" customHeight="false" outlineLevel="0" collapsed="false">
      <c r="A51" s="3"/>
      <c r="B51" s="26" t="n">
        <v>60</v>
      </c>
      <c r="C51" s="26" t="n">
        <v>5.7</v>
      </c>
      <c r="D51" s="26" t="n">
        <v>90</v>
      </c>
      <c r="E51" s="4" t="n">
        <v>103.5</v>
      </c>
      <c r="F51" s="4" t="n">
        <v>18.205072687906</v>
      </c>
      <c r="G51" s="5" t="n">
        <v>412.638157894737</v>
      </c>
      <c r="H51" s="6" t="n">
        <v>4.01028456541912</v>
      </c>
      <c r="K51" s="27" t="n">
        <f aca="false">B51</f>
        <v>60</v>
      </c>
      <c r="L51" s="3" t="n">
        <f aca="false">C51</f>
        <v>5.7</v>
      </c>
      <c r="M51" s="4" t="n">
        <f aca="false">E51*(1-0.02)^8</f>
        <v>88.0539728372148</v>
      </c>
      <c r="N51" s="4" t="n">
        <f aca="false">$M51*(1.02)^(N$6/1000)</f>
        <v>91.6113533398383</v>
      </c>
      <c r="O51" s="4" t="n">
        <f aca="false">$M51*(1.02)^(O$6/1000)</f>
        <v>95.3124520147677</v>
      </c>
      <c r="P51" s="4" t="n">
        <f aca="false">$M51*(1.02)^(P$6/1000)</f>
        <v>99.1630750761644</v>
      </c>
      <c r="Q51" s="4" t="n">
        <f aca="false">$M51*(1.02)^(Q$6/1000)</f>
        <v>103.169263309241</v>
      </c>
      <c r="R51" s="4" t="n">
        <f aca="false">$M51*(1.02)^(R$6/1000)</f>
        <v>107.337301546935</v>
      </c>
      <c r="S51" s="4" t="n">
        <f aca="false">$M51*(1.02)^(S$6/1000)</f>
        <v>111.673728529431</v>
      </c>
      <c r="T51" s="4" t="n">
        <f aca="false">$M51*(1.02)^(T$6/1000)</f>
        <v>116.18534716202</v>
      </c>
      <c r="U51" s="28" t="n">
        <f aca="false">$M51*(1.02)^(U$6/1000)</f>
        <v>120.879235187366</v>
      </c>
      <c r="W51" s="3" t="n">
        <v>60</v>
      </c>
      <c r="X51" s="29" t="n">
        <f aca="false">P51/L51</f>
        <v>17.3970307151166</v>
      </c>
      <c r="Y51" s="31" t="n">
        <f aca="false">((27-L51*0.75)/L51)*P51</f>
        <v>395.347523001024</v>
      </c>
      <c r="Z51" s="29" t="n">
        <f aca="false">Y51/P51</f>
        <v>3.98684210526316</v>
      </c>
      <c r="AA51" s="29" t="n">
        <f aca="false">ROUNDDOWN(1200/Y51,0)*0.5+1200/P51</f>
        <v>13.6012786168472</v>
      </c>
      <c r="AB51" s="32" t="n">
        <f aca="false">ROUNDDOWN(1200/Y51,0)</f>
        <v>3</v>
      </c>
    </row>
    <row r="52" customFormat="false" ht="15.75" hidden="false" customHeight="false" outlineLevel="0" collapsed="false">
      <c r="A52" s="3"/>
      <c r="B52" s="26" t="n">
        <v>50</v>
      </c>
      <c r="C52" s="26" t="n">
        <v>4.85</v>
      </c>
      <c r="D52" s="26" t="n">
        <v>84</v>
      </c>
      <c r="E52" s="4" t="n">
        <v>96.6</v>
      </c>
      <c r="F52" s="4" t="n">
        <v>20.0239065180103</v>
      </c>
      <c r="G52" s="5" t="n">
        <v>465.323195876289</v>
      </c>
      <c r="H52" s="6" t="n">
        <v>4.86535162950257</v>
      </c>
      <c r="K52" s="27" t="n">
        <f aca="false">B52</f>
        <v>50</v>
      </c>
      <c r="L52" s="3" t="n">
        <f aca="false">C52</f>
        <v>4.85</v>
      </c>
      <c r="M52" s="4" t="n">
        <f aca="false">E52*(1-0.02)^8</f>
        <v>82.1837079814005</v>
      </c>
      <c r="N52" s="4" t="n">
        <f aca="false">$M52*(1.02)^(N$6/1000)</f>
        <v>85.5039297838491</v>
      </c>
      <c r="O52" s="4" t="n">
        <f aca="false">$M52*(1.02)^(O$6/1000)</f>
        <v>88.9582885471166</v>
      </c>
      <c r="P52" s="4" t="n">
        <f aca="false">$M52*(1.02)^(P$6/1000)</f>
        <v>92.5522034044201</v>
      </c>
      <c r="Q52" s="4" t="n">
        <f aca="false">$M52*(1.02)^(Q$6/1000)</f>
        <v>96.2913124219587</v>
      </c>
      <c r="R52" s="4" t="n">
        <f aca="false">$M52*(1.02)^(R$6/1000)</f>
        <v>100.181481443806</v>
      </c>
      <c r="S52" s="4" t="n">
        <f aca="false">$M52*(1.02)^(S$6/1000)</f>
        <v>104.228813294136</v>
      </c>
      <c r="T52" s="4" t="n">
        <f aca="false">$M52*(1.02)^(T$6/1000)</f>
        <v>108.439657351219</v>
      </c>
      <c r="U52" s="28" t="n">
        <f aca="false">$M52*(1.02)^(U$6/1000)</f>
        <v>112.820619508208</v>
      </c>
      <c r="W52" s="3" t="n">
        <v>50</v>
      </c>
      <c r="X52" s="4" t="n">
        <f aca="false">P52/L52</f>
        <v>19.0829285369938</v>
      </c>
      <c r="Y52" s="5" t="n">
        <f aca="false">((27-L52*0.75)/L52)*P52</f>
        <v>445.824917945518</v>
      </c>
      <c r="Z52" s="4" t="n">
        <f aca="false">Y52/P52</f>
        <v>4.81701030927835</v>
      </c>
      <c r="AA52" s="4" t="n">
        <f aca="false">ROUNDDOWN(1200/Y52,0)*0.5+1200/P52</f>
        <v>13.9656556609077</v>
      </c>
      <c r="AB52" s="3" t="n">
        <f aca="false">ROUNDDOWN(1200/Y52,0)</f>
        <v>2</v>
      </c>
      <c r="AD52" s="3"/>
      <c r="AE52" s="3"/>
      <c r="AF52" s="3"/>
      <c r="AG52" s="3"/>
    </row>
    <row r="53" customFormat="false" ht="15.75" hidden="false" customHeight="false" outlineLevel="0" collapsed="false">
      <c r="A53" s="3"/>
      <c r="B53" s="26" t="n">
        <v>40</v>
      </c>
      <c r="C53" s="26" t="n">
        <v>4</v>
      </c>
      <c r="D53" s="26" t="n">
        <v>74</v>
      </c>
      <c r="E53" s="4" t="n">
        <v>85.1</v>
      </c>
      <c r="F53" s="4" t="n">
        <v>21.2866161616162</v>
      </c>
      <c r="G53" s="5" t="n">
        <v>510.6</v>
      </c>
      <c r="H53" s="6" t="n">
        <v>6.06818181818182</v>
      </c>
      <c r="K53" s="27" t="n">
        <f aca="false">B53</f>
        <v>40</v>
      </c>
      <c r="L53" s="3" t="n">
        <f aca="false">C53</f>
        <v>4</v>
      </c>
      <c r="M53" s="4" t="n">
        <f aca="false">E53*(1-0.02)^8</f>
        <v>72.3999332217099</v>
      </c>
      <c r="N53" s="4" t="n">
        <f aca="false">$M53*(1.02)^(N$6/1000)</f>
        <v>75.324890523867</v>
      </c>
      <c r="O53" s="4" t="n">
        <f aca="false">$M53*(1.02)^(O$6/1000)</f>
        <v>78.3680161010312</v>
      </c>
      <c r="P53" s="4" t="n">
        <f aca="false">$M53*(1.02)^(P$6/1000)</f>
        <v>81.5340839515129</v>
      </c>
      <c r="Q53" s="4" t="n">
        <f aca="false">$M53*(1.02)^(Q$6/1000)</f>
        <v>84.828060943154</v>
      </c>
      <c r="R53" s="4" t="n">
        <f aca="false">$M53*(1.02)^(R$6/1000)</f>
        <v>88.2551146052575</v>
      </c>
      <c r="S53" s="4" t="n">
        <f aca="false">$M53*(1.02)^(S$6/1000)</f>
        <v>91.8206212353099</v>
      </c>
      <c r="T53" s="4" t="n">
        <f aca="false">$M53*(1.02)^(T$6/1000)</f>
        <v>95.5301743332164</v>
      </c>
      <c r="U53" s="28" t="n">
        <f aca="false">$M53*(1.02)^(U$6/1000)</f>
        <v>99.3895933762783</v>
      </c>
      <c r="W53" s="3" t="n">
        <v>40</v>
      </c>
      <c r="X53" s="4" t="n">
        <f aca="false">P53/L53</f>
        <v>20.3835209878782</v>
      </c>
      <c r="Y53" s="5" t="n">
        <f aca="false">((27-L53*0.75)/L53)*P53</f>
        <v>489.204503709078</v>
      </c>
      <c r="Z53" s="4" t="n">
        <f aca="false">Y53/P53</f>
        <v>6</v>
      </c>
      <c r="AA53" s="4" t="n">
        <f aca="false">ROUNDDOWN(1200/Y53,0)*0.5+1200/P53</f>
        <v>15.7177712907601</v>
      </c>
      <c r="AB53" s="3" t="n">
        <f aca="false">ROUNDDOWN(1200/Y53,0)</f>
        <v>2</v>
      </c>
      <c r="AC53" s="3"/>
    </row>
    <row r="54" customFormat="false" ht="15.75" hidden="false" customHeight="false" outlineLevel="0" collapsed="false">
      <c r="A54" s="3"/>
      <c r="B54" s="26" t="n">
        <v>35</v>
      </c>
      <c r="C54" s="26" t="n">
        <v>3.6</v>
      </c>
      <c r="D54" s="26" t="n">
        <v>67</v>
      </c>
      <c r="E54" s="4" t="n">
        <f aca="false">D54*1.15</f>
        <v>77.05</v>
      </c>
      <c r="F54" s="4" t="n">
        <f aca="false">E54/C54</f>
        <v>21.4027777777778</v>
      </c>
      <c r="G54" s="5" t="n">
        <f aca="false">((27-C54*0.75)/C54)*E54</f>
        <v>520.0875</v>
      </c>
      <c r="H54" s="6" t="n">
        <f aca="false">G54/E54</f>
        <v>6.75</v>
      </c>
      <c r="K54" s="33" t="n">
        <f aca="false">B54</f>
        <v>35</v>
      </c>
      <c r="L54" s="34" t="n">
        <f aca="false">C54</f>
        <v>3.6</v>
      </c>
      <c r="M54" s="35" t="n">
        <f aca="false">E54*(1-0.02)^8</f>
        <v>65.5512908899266</v>
      </c>
      <c r="N54" s="35" t="n">
        <f aca="false">$M54*(1.02)^(N$6/1000)</f>
        <v>68.1995630418796</v>
      </c>
      <c r="O54" s="35" t="n">
        <f aca="false">$M54*(1.02)^(O$6/1000)</f>
        <v>70.9548253887715</v>
      </c>
      <c r="P54" s="35" t="n">
        <f aca="false">$M54*(1.02)^(P$6/1000)</f>
        <v>73.8214003344779</v>
      </c>
      <c r="Q54" s="35" t="n">
        <f aca="false">$M54*(1.02)^(Q$6/1000)</f>
        <v>76.8037849079908</v>
      </c>
      <c r="R54" s="35" t="n">
        <f aca="false">$M54*(1.02)^(R$6/1000)</f>
        <v>79.9066578182736</v>
      </c>
      <c r="S54" s="35" t="n">
        <f aca="false">$M54*(1.02)^(S$6/1000)</f>
        <v>83.1348867941319</v>
      </c>
      <c r="T54" s="35" t="n">
        <f aca="false">$M54*(1.02)^(T$6/1000)</f>
        <v>86.4935362206148</v>
      </c>
      <c r="U54" s="36" t="n">
        <f aca="false">$M54*(1.02)^(U$6/1000)</f>
        <v>89.9878750839277</v>
      </c>
      <c r="W54" s="3" t="n">
        <v>30</v>
      </c>
      <c r="X54" s="4" t="n">
        <f aca="false">P54/L54</f>
        <v>20.505944537355</v>
      </c>
      <c r="Y54" s="5" t="n">
        <f aca="false">((27-L54*0.75)/L54)*P54</f>
        <v>498.294452257726</v>
      </c>
      <c r="Z54" s="4" t="n">
        <f aca="false">Y54/P54</f>
        <v>6.75</v>
      </c>
      <c r="AA54" s="4" t="n">
        <f aca="false">ROUNDDOWN(1200/Y54,0)*0.5+1200/P54</f>
        <v>17.2554488883022</v>
      </c>
      <c r="AB54" s="3" t="n">
        <f aca="false">ROUNDDOWN(1200/Y54,0)</f>
        <v>2</v>
      </c>
    </row>
    <row r="55" customFormat="false" ht="15.75" hidden="false" customHeight="false" outlineLevel="0" collapsed="false">
      <c r="A55" s="3"/>
      <c r="B55" s="3"/>
      <c r="C55" s="4"/>
      <c r="D55" s="4"/>
      <c r="E55" s="5"/>
      <c r="F55" s="6"/>
      <c r="N55" s="7"/>
      <c r="W55" s="4"/>
      <c r="X55" s="4"/>
      <c r="Z55" s="7"/>
      <c r="AA55" s="4"/>
      <c r="AB55" s="3"/>
      <c r="AD55" s="13"/>
      <c r="AE55" s="13"/>
      <c r="AF55" s="13"/>
      <c r="AG55" s="13"/>
    </row>
    <row r="56" customFormat="false" ht="15.75" hidden="false" customHeight="false" outlineLevel="0" collapsed="false">
      <c r="A56" s="3"/>
      <c r="B56" s="3"/>
      <c r="C56" s="4"/>
      <c r="D56" s="4"/>
      <c r="E56" s="5"/>
      <c r="F56" s="6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AC56" s="13"/>
      <c r="AD56" s="3"/>
      <c r="AE56" s="3"/>
      <c r="AF56" s="3"/>
      <c r="AG56" s="3"/>
    </row>
    <row r="57" customFormat="false" ht="15.75" hidden="false" customHeight="false" outlineLevel="0" collapsed="false">
      <c r="A57" s="3"/>
      <c r="B57" s="3"/>
      <c r="C57" s="4"/>
      <c r="D57" s="4"/>
      <c r="E57" s="5"/>
      <c r="F57" s="6"/>
      <c r="R57" s="13"/>
      <c r="S57" s="13"/>
      <c r="T57" s="13"/>
      <c r="U57" s="13"/>
      <c r="AC57" s="3"/>
      <c r="AD57" s="3"/>
      <c r="AE57" s="3"/>
      <c r="AF57" s="3"/>
      <c r="AG57" s="3"/>
    </row>
    <row r="58" customFormat="false" ht="15.75" hidden="false" customHeight="false" outlineLevel="0" collapsed="false">
      <c r="A58" s="3"/>
      <c r="B58" s="3"/>
      <c r="C58" s="4"/>
      <c r="D58" s="4"/>
      <c r="E58" s="5"/>
      <c r="F58" s="6"/>
      <c r="R58" s="19"/>
      <c r="S58" s="19"/>
      <c r="T58" s="19"/>
      <c r="U58" s="19"/>
      <c r="AC58" s="3"/>
      <c r="AD58" s="3"/>
      <c r="AE58" s="3"/>
      <c r="AF58" s="3"/>
      <c r="AG58" s="3"/>
    </row>
    <row r="59" customFormat="false" ht="15.75" hidden="false" customHeight="false" outlineLevel="0" collapsed="false">
      <c r="A59" s="3"/>
      <c r="B59" s="3"/>
      <c r="C59" s="4"/>
      <c r="D59" s="4"/>
      <c r="E59" s="5"/>
      <c r="F59" s="6"/>
      <c r="R59" s="4"/>
      <c r="S59" s="4"/>
      <c r="T59" s="4"/>
      <c r="U59" s="4"/>
      <c r="AC59" s="3"/>
      <c r="AD59" s="3"/>
      <c r="AE59" s="3"/>
      <c r="AF59" s="3"/>
      <c r="AG59" s="3"/>
    </row>
    <row r="60" customFormat="false" ht="15.75" hidden="false" customHeight="false" outlineLevel="0" collapsed="false">
      <c r="A60" s="3"/>
      <c r="B60" s="3"/>
      <c r="C60" s="4"/>
      <c r="D60" s="4"/>
      <c r="E60" s="5"/>
      <c r="F60" s="6"/>
      <c r="R60" s="4"/>
      <c r="S60" s="4"/>
      <c r="T60" s="4"/>
      <c r="U60" s="4"/>
      <c r="AC60" s="3"/>
      <c r="AD60" s="32"/>
      <c r="AE60" s="32"/>
      <c r="AF60" s="32"/>
      <c r="AG60" s="32"/>
    </row>
    <row r="61" customFormat="false" ht="15.75" hidden="false" customHeight="false" outlineLevel="0" collapsed="false">
      <c r="A61" s="3"/>
      <c r="B61" s="3"/>
      <c r="C61" s="4"/>
      <c r="D61" s="4"/>
      <c r="E61" s="5"/>
      <c r="F61" s="6"/>
      <c r="R61" s="4"/>
      <c r="S61" s="4"/>
      <c r="T61" s="4"/>
      <c r="U61" s="4"/>
      <c r="AC61" s="32"/>
      <c r="AD61" s="3"/>
      <c r="AE61" s="3"/>
      <c r="AF61" s="3"/>
      <c r="AG61" s="3"/>
    </row>
    <row r="62" customFormat="false" ht="15.75" hidden="false" customHeight="false" outlineLevel="0" collapsed="false">
      <c r="A62" s="3"/>
      <c r="B62" s="3"/>
      <c r="C62" s="4"/>
      <c r="D62" s="4"/>
      <c r="E62" s="5"/>
      <c r="F62" s="6"/>
      <c r="R62" s="4"/>
      <c r="S62" s="4"/>
      <c r="T62" s="4"/>
      <c r="U62" s="4"/>
      <c r="AC62" s="3"/>
      <c r="AD62" s="3"/>
      <c r="AE62" s="3"/>
      <c r="AF62" s="3"/>
      <c r="AG62" s="3"/>
    </row>
    <row r="63" customFormat="false" ht="15.75" hidden="false" customHeight="false" outlineLevel="0" collapsed="false">
      <c r="A63" s="3"/>
      <c r="B63" s="3"/>
      <c r="C63" s="4"/>
      <c r="D63" s="4"/>
      <c r="E63" s="5"/>
      <c r="F63" s="6"/>
      <c r="R63" s="4"/>
      <c r="S63" s="4"/>
      <c r="T63" s="4"/>
      <c r="U63" s="4"/>
      <c r="AC63" s="3"/>
      <c r="AD63" s="3"/>
      <c r="AE63" s="3"/>
      <c r="AF63" s="3"/>
      <c r="AG63" s="3"/>
    </row>
    <row r="64" customFormat="false" ht="15.75" hidden="false" customHeight="false" outlineLevel="0" collapsed="false">
      <c r="A64" s="3"/>
      <c r="B64" s="3"/>
      <c r="C64" s="4"/>
      <c r="D64" s="4"/>
      <c r="E64" s="5"/>
      <c r="F64" s="6"/>
      <c r="R64" s="4"/>
      <c r="S64" s="4"/>
      <c r="T64" s="4"/>
      <c r="U64" s="4"/>
      <c r="AC64" s="3"/>
      <c r="AD64" s="3"/>
      <c r="AE64" s="3"/>
      <c r="AF64" s="3"/>
      <c r="AG64" s="3"/>
    </row>
    <row r="65" customFormat="false" ht="15.75" hidden="false" customHeight="false" outlineLevel="0" collapsed="false">
      <c r="A65" s="3"/>
      <c r="B65" s="3"/>
      <c r="C65" s="4"/>
      <c r="D65" s="4"/>
      <c r="E65" s="5"/>
      <c r="F65" s="6"/>
      <c r="R65" s="4"/>
      <c r="S65" s="4"/>
      <c r="T65" s="4"/>
      <c r="U65" s="4"/>
      <c r="AC65" s="3"/>
      <c r="AD65" s="3"/>
      <c r="AE65" s="3"/>
      <c r="AF65" s="3"/>
      <c r="AG65" s="3"/>
    </row>
    <row r="66" customFormat="false" ht="15.75" hidden="false" customHeight="false" outlineLevel="0" collapsed="false">
      <c r="A66" s="3"/>
      <c r="B66" s="3"/>
      <c r="C66" s="4"/>
      <c r="D66" s="4"/>
      <c r="E66" s="5"/>
      <c r="F66" s="6"/>
      <c r="R66" s="4"/>
      <c r="S66" s="4"/>
      <c r="T66" s="4"/>
      <c r="U66" s="4"/>
      <c r="AC66" s="3"/>
      <c r="AD66" s="3"/>
      <c r="AE66" s="3"/>
      <c r="AF66" s="3"/>
      <c r="AG66" s="3"/>
    </row>
    <row r="67" customFormat="false" ht="15.75" hidden="false" customHeight="false" outlineLevel="0" collapsed="false">
      <c r="A67" s="3"/>
      <c r="B67" s="3"/>
      <c r="C67" s="4"/>
      <c r="D67" s="4"/>
      <c r="E67" s="5"/>
      <c r="F67" s="6"/>
      <c r="AC67" s="3"/>
      <c r="AD67" s="3"/>
      <c r="AE67" s="3"/>
      <c r="AF67" s="3"/>
      <c r="AG67" s="3"/>
    </row>
    <row r="68" customFormat="false" ht="15.75" hidden="false" customHeight="false" outlineLevel="0" collapsed="false">
      <c r="A68" s="3"/>
      <c r="B68" s="3"/>
      <c r="C68" s="4"/>
      <c r="D68" s="4"/>
      <c r="E68" s="5"/>
      <c r="F68" s="6"/>
      <c r="AC68" s="3"/>
      <c r="AD68" s="3"/>
      <c r="AE68" s="3"/>
      <c r="AF68" s="3"/>
      <c r="AG68" s="3"/>
    </row>
    <row r="69" customFormat="false" ht="15.75" hidden="false" customHeight="false" outlineLevel="0" collapsed="false">
      <c r="A69" s="3"/>
      <c r="B69" s="3"/>
      <c r="C69" s="4"/>
      <c r="D69" s="4"/>
      <c r="E69" s="5"/>
      <c r="F69" s="6"/>
      <c r="AC69" s="3"/>
      <c r="AD69" s="3"/>
      <c r="AE69" s="3"/>
      <c r="AF69" s="3"/>
      <c r="AG69" s="3"/>
    </row>
    <row r="70" customFormat="false" ht="15.75" hidden="false" customHeight="false" outlineLevel="0" collapsed="false">
      <c r="A70" s="3"/>
      <c r="B70" s="3"/>
      <c r="C70" s="4"/>
      <c r="D70" s="4"/>
      <c r="E70" s="5"/>
      <c r="F70" s="6"/>
      <c r="AC70" s="3"/>
      <c r="AD70" s="3"/>
      <c r="AE70" s="3"/>
      <c r="AF70" s="3"/>
      <c r="AG70" s="3"/>
    </row>
    <row r="71" customFormat="false" ht="15.75" hidden="false" customHeight="false" outlineLevel="0" collapsed="false">
      <c r="A71" s="3"/>
      <c r="B71" s="3"/>
      <c r="C71" s="4"/>
      <c r="D71" s="4"/>
      <c r="E71" s="5"/>
      <c r="F71" s="6"/>
      <c r="AC71" s="3"/>
      <c r="AD71" s="3"/>
      <c r="AE71" s="3"/>
      <c r="AF71" s="3"/>
      <c r="AG71" s="3"/>
    </row>
    <row r="72" customFormat="false" ht="15.75" hidden="false" customHeight="false" outlineLevel="0" collapsed="false">
      <c r="A72" s="3"/>
      <c r="B72" s="3"/>
      <c r="C72" s="4"/>
      <c r="D72" s="4"/>
      <c r="E72" s="5"/>
      <c r="F72" s="6"/>
      <c r="AC72" s="3"/>
      <c r="AD72" s="32"/>
      <c r="AE72" s="32"/>
      <c r="AF72" s="32"/>
      <c r="AG72" s="32"/>
    </row>
    <row r="73" customFormat="false" ht="15.75" hidden="false" customHeight="false" outlineLevel="0" collapsed="false">
      <c r="A73" s="3"/>
      <c r="B73" s="3"/>
      <c r="C73" s="4"/>
      <c r="D73" s="4"/>
      <c r="E73" s="5"/>
      <c r="F73" s="6"/>
      <c r="AC73" s="32"/>
      <c r="AD73" s="3"/>
      <c r="AE73" s="3"/>
      <c r="AF73" s="3"/>
      <c r="AG73" s="3"/>
    </row>
    <row r="74" customFormat="false" ht="15.75" hidden="false" customHeight="false" outlineLevel="0" collapsed="false">
      <c r="A74" s="3"/>
      <c r="B74" s="3"/>
      <c r="C74" s="4"/>
      <c r="D74" s="4"/>
      <c r="E74" s="5"/>
      <c r="F74" s="6"/>
      <c r="AC74" s="3"/>
      <c r="AD74" s="3"/>
      <c r="AE74" s="3"/>
      <c r="AF74" s="3"/>
      <c r="AG74" s="3"/>
    </row>
    <row r="75" customFormat="false" ht="15.75" hidden="false" customHeight="false" outlineLevel="0" collapsed="false">
      <c r="A75" s="3"/>
      <c r="B75" s="3"/>
      <c r="C75" s="4"/>
      <c r="D75" s="4"/>
      <c r="E75" s="5"/>
      <c r="F75" s="6"/>
      <c r="AC75" s="3"/>
      <c r="AD75" s="3"/>
      <c r="AE75" s="3"/>
      <c r="AF75" s="3"/>
      <c r="AG75" s="3"/>
    </row>
    <row r="76" customFormat="false" ht="15.75" hidden="false" customHeight="false" outlineLevel="0" collapsed="false">
      <c r="A76" s="3"/>
      <c r="B76" s="3"/>
      <c r="C76" s="4"/>
      <c r="D76" s="4"/>
      <c r="E76" s="5"/>
      <c r="F76" s="6"/>
      <c r="AC76" s="3"/>
      <c r="AD76" s="3"/>
      <c r="AE76" s="3"/>
      <c r="AF76" s="3"/>
      <c r="AG76" s="3"/>
    </row>
    <row r="77" customFormat="false" ht="15.75" hidden="false" customHeight="false" outlineLevel="0" collapsed="false">
      <c r="A77" s="3"/>
      <c r="B77" s="3"/>
      <c r="C77" s="4"/>
      <c r="D77" s="4"/>
      <c r="E77" s="5"/>
      <c r="F77" s="6"/>
      <c r="AC77" s="3"/>
      <c r="AD77" s="3"/>
      <c r="AE77" s="3"/>
      <c r="AF77" s="3"/>
      <c r="AG77" s="3"/>
    </row>
    <row r="78" customFormat="false" ht="15.75" hidden="false" customHeight="false" outlineLevel="0" collapsed="false">
      <c r="A78" s="3"/>
      <c r="B78" s="3"/>
      <c r="C78" s="4"/>
      <c r="D78" s="4"/>
      <c r="E78" s="5"/>
      <c r="F78" s="6"/>
      <c r="AC78" s="3"/>
      <c r="AD78" s="3"/>
      <c r="AE78" s="3"/>
      <c r="AF78" s="3"/>
      <c r="AG78" s="3"/>
    </row>
    <row r="79" customFormat="false" ht="15.75" hidden="false" customHeight="false" outlineLevel="0" collapsed="false">
      <c r="A79" s="3"/>
      <c r="B79" s="3"/>
      <c r="C79" s="4"/>
      <c r="D79" s="4"/>
      <c r="E79" s="5"/>
      <c r="F79" s="6"/>
      <c r="AC79" s="3"/>
      <c r="AD79" s="3"/>
      <c r="AE79" s="3"/>
      <c r="AF79" s="3"/>
      <c r="AG79" s="3"/>
    </row>
    <row r="80" customFormat="false" ht="15.75" hidden="false" customHeight="false" outlineLevel="0" collapsed="false">
      <c r="A80" s="3"/>
      <c r="B80" s="3"/>
      <c r="C80" s="4"/>
      <c r="D80" s="4"/>
      <c r="E80" s="5"/>
      <c r="F80" s="6"/>
      <c r="AC80" s="3"/>
      <c r="AD80" s="3"/>
      <c r="AE80" s="3"/>
      <c r="AF80" s="3"/>
      <c r="AG80" s="3"/>
    </row>
    <row r="81" customFormat="false" ht="15.75" hidden="false" customHeight="false" outlineLevel="0" collapsed="false">
      <c r="A81" s="3"/>
      <c r="B81" s="3"/>
      <c r="C81" s="4"/>
      <c r="D81" s="4"/>
      <c r="E81" s="5"/>
      <c r="F81" s="6"/>
      <c r="AC81" s="3"/>
      <c r="AD81" s="3"/>
      <c r="AE81" s="3"/>
      <c r="AF81" s="3"/>
      <c r="AG81" s="3"/>
    </row>
    <row r="82" customFormat="false" ht="15.75" hidden="false" customHeight="false" outlineLevel="0" collapsed="false">
      <c r="A82" s="3"/>
      <c r="B82" s="3"/>
      <c r="C82" s="4"/>
      <c r="D82" s="4"/>
      <c r="E82" s="5"/>
      <c r="F82" s="6"/>
      <c r="AC82" s="3"/>
      <c r="AD82" s="3"/>
      <c r="AE82" s="3"/>
      <c r="AF82" s="3"/>
      <c r="AG82" s="3"/>
    </row>
    <row r="83" customFormat="false" ht="15.75" hidden="false" customHeight="false" outlineLevel="0" collapsed="false">
      <c r="A83" s="3"/>
      <c r="B83" s="3"/>
      <c r="C83" s="4"/>
      <c r="D83" s="4"/>
      <c r="E83" s="5"/>
      <c r="F83" s="6"/>
      <c r="AC83" s="3"/>
      <c r="AD83" s="3"/>
      <c r="AE83" s="3"/>
      <c r="AF83" s="3"/>
      <c r="AG83" s="3"/>
    </row>
    <row r="84" customFormat="false" ht="15.75" hidden="false" customHeight="false" outlineLevel="0" collapsed="false">
      <c r="A84" s="3"/>
      <c r="B84" s="3"/>
      <c r="C84" s="4"/>
      <c r="D84" s="4"/>
      <c r="E84" s="5"/>
      <c r="F84" s="6"/>
      <c r="AC84" s="3"/>
      <c r="AD84" s="32"/>
      <c r="AE84" s="32"/>
      <c r="AF84" s="32"/>
      <c r="AG84" s="32"/>
    </row>
    <row r="85" customFormat="false" ht="15.75" hidden="false" customHeight="false" outlineLevel="0" collapsed="false">
      <c r="A85" s="3"/>
      <c r="B85" s="3"/>
      <c r="C85" s="4"/>
      <c r="D85" s="4"/>
      <c r="E85" s="5"/>
      <c r="F85" s="6"/>
      <c r="AC85" s="32"/>
      <c r="AD85" s="3"/>
      <c r="AE85" s="3"/>
      <c r="AF85" s="3"/>
      <c r="AG85" s="3"/>
    </row>
    <row r="86" customFormat="false" ht="15.75" hidden="false" customHeight="false" outlineLevel="0" collapsed="false">
      <c r="A86" s="3"/>
      <c r="B86" s="3"/>
      <c r="C86" s="4"/>
      <c r="D86" s="4"/>
      <c r="E86" s="5"/>
      <c r="F86" s="6"/>
      <c r="AC86" s="3"/>
      <c r="AD86" s="3"/>
      <c r="AE86" s="3"/>
      <c r="AF86" s="3"/>
      <c r="AG86" s="3"/>
    </row>
    <row r="87" customFormat="false" ht="15.75" hidden="false" customHeight="false" outlineLevel="0" collapsed="false">
      <c r="A87" s="3"/>
      <c r="B87" s="3"/>
      <c r="C87" s="4"/>
      <c r="D87" s="4"/>
      <c r="E87" s="5"/>
      <c r="F87" s="6"/>
      <c r="AC87" s="3"/>
      <c r="AD87" s="3"/>
      <c r="AE87" s="3"/>
      <c r="AF87" s="3"/>
      <c r="AG87" s="3"/>
    </row>
    <row r="88" customFormat="false" ht="15.75" hidden="false" customHeight="false" outlineLevel="0" collapsed="false">
      <c r="A88" s="3"/>
      <c r="B88" s="3"/>
      <c r="C88" s="4"/>
      <c r="D88" s="4"/>
      <c r="E88" s="5"/>
      <c r="F88" s="6"/>
      <c r="AC88" s="3"/>
      <c r="AD88" s="3"/>
      <c r="AE88" s="3"/>
      <c r="AF88" s="3"/>
      <c r="AG88" s="3"/>
    </row>
    <row r="89" customFormat="false" ht="15.75" hidden="false" customHeight="false" outlineLevel="0" collapsed="false">
      <c r="A89" s="3"/>
      <c r="B89" s="3"/>
      <c r="C89" s="4"/>
      <c r="D89" s="4"/>
      <c r="E89" s="5"/>
      <c r="F89" s="6"/>
      <c r="AC89" s="3"/>
      <c r="AD89" s="3"/>
      <c r="AE89" s="3"/>
      <c r="AF89" s="3"/>
      <c r="AG89" s="3"/>
    </row>
    <row r="90" customFormat="false" ht="15.75" hidden="false" customHeight="false" outlineLevel="0" collapsed="false">
      <c r="A90" s="3"/>
      <c r="B90" s="3"/>
      <c r="C90" s="4"/>
      <c r="D90" s="4"/>
      <c r="E90" s="5"/>
      <c r="F90" s="6"/>
      <c r="AC90" s="3"/>
      <c r="AD90" s="3"/>
      <c r="AE90" s="3"/>
      <c r="AF90" s="3"/>
      <c r="AG90" s="3"/>
    </row>
    <row r="91" customFormat="false" ht="15.75" hidden="false" customHeight="false" outlineLevel="0" collapsed="false">
      <c r="A91" s="3"/>
      <c r="B91" s="3"/>
      <c r="C91" s="4"/>
      <c r="D91" s="4"/>
      <c r="E91" s="5"/>
      <c r="F91" s="6"/>
      <c r="AC91" s="3"/>
      <c r="AD91" s="3"/>
      <c r="AE91" s="3"/>
      <c r="AF91" s="3"/>
      <c r="AG91" s="3"/>
    </row>
    <row r="92" customFormat="false" ht="15.75" hidden="false" customHeight="false" outlineLevel="0" collapsed="false">
      <c r="A92" s="3"/>
      <c r="B92" s="3"/>
      <c r="C92" s="4"/>
      <c r="D92" s="4"/>
      <c r="E92" s="5"/>
      <c r="F92" s="6"/>
      <c r="AC92" s="3"/>
      <c r="AD92" s="13"/>
      <c r="AE92" s="13"/>
      <c r="AF92" s="13"/>
      <c r="AG92" s="13"/>
    </row>
    <row r="93" customFormat="false" ht="15.75" hidden="false" customHeight="false" outlineLevel="0" collapsed="false">
      <c r="A93" s="3"/>
      <c r="B93" s="3"/>
      <c r="C93" s="4"/>
      <c r="D93" s="4"/>
      <c r="E93" s="5"/>
      <c r="F93" s="6"/>
      <c r="AC93" s="13"/>
      <c r="AD93" s="3"/>
      <c r="AE93" s="3"/>
      <c r="AF93" s="3"/>
      <c r="AG93" s="3"/>
    </row>
    <row r="94" customFormat="false" ht="15.75" hidden="false" customHeight="false" outlineLevel="0" collapsed="false">
      <c r="A94" s="3"/>
      <c r="B94" s="3"/>
      <c r="C94" s="4"/>
      <c r="D94" s="4"/>
      <c r="E94" s="5"/>
      <c r="F94" s="6"/>
      <c r="AC94" s="3"/>
      <c r="AD94" s="3"/>
      <c r="AE94" s="3"/>
      <c r="AF94" s="3"/>
    </row>
    <row r="95" customFormat="false" ht="15.75" hidden="false" customHeight="false" outlineLevel="0" collapsed="false">
      <c r="A95" s="3"/>
      <c r="B95" s="3"/>
      <c r="C95" s="4"/>
      <c r="D95" s="4"/>
      <c r="E95" s="5"/>
      <c r="F95" s="6"/>
      <c r="AC95" s="3"/>
      <c r="AD95" s="3"/>
      <c r="AE95" s="3"/>
      <c r="AF95" s="3"/>
      <c r="AG95" s="3"/>
    </row>
    <row r="96" customFormat="false" ht="15.75" hidden="false" customHeight="false" outlineLevel="0" collapsed="false">
      <c r="A96" s="3"/>
      <c r="B96" s="3"/>
      <c r="C96" s="4"/>
      <c r="D96" s="4"/>
      <c r="E96" s="5"/>
      <c r="F96" s="6"/>
      <c r="AC96" s="3"/>
      <c r="AD96" s="3"/>
      <c r="AE96" s="3"/>
      <c r="AF96" s="3"/>
      <c r="AG96" s="3"/>
    </row>
    <row r="97" customFormat="false" ht="15.75" hidden="false" customHeight="false" outlineLevel="0" collapsed="false">
      <c r="A97" s="3"/>
      <c r="B97" s="3"/>
      <c r="C97" s="4"/>
      <c r="D97" s="4"/>
      <c r="E97" s="5"/>
      <c r="F97" s="6"/>
      <c r="AB97" s="3"/>
      <c r="AC97" s="3"/>
      <c r="AD97" s="3"/>
      <c r="AE97" s="3"/>
      <c r="AF97" s="3"/>
      <c r="AG97" s="3"/>
    </row>
    <row r="98" customFormat="false" ht="15.75" hidden="false" customHeight="false" outlineLevel="0" collapsed="false">
      <c r="A98" s="3"/>
      <c r="B98" s="3"/>
      <c r="C98" s="4"/>
      <c r="D98" s="4"/>
      <c r="E98" s="5"/>
      <c r="F98" s="6"/>
      <c r="AC98" s="3"/>
      <c r="AD98" s="3"/>
      <c r="AE98" s="3"/>
      <c r="AF98" s="3"/>
      <c r="AG98" s="3"/>
    </row>
    <row r="99" customFormat="false" ht="15.75" hidden="false" customHeight="false" outlineLevel="0" collapsed="false">
      <c r="A99" s="3"/>
      <c r="B99" s="3"/>
      <c r="C99" s="4"/>
      <c r="D99" s="4"/>
      <c r="E99" s="5"/>
      <c r="F99" s="6"/>
      <c r="AC99" s="3"/>
      <c r="AD99" s="3"/>
      <c r="AE99" s="3"/>
      <c r="AF99" s="3"/>
      <c r="AG99" s="3"/>
    </row>
    <row r="100" customFormat="false" ht="15.75" hidden="false" customHeight="false" outlineLevel="0" collapsed="false">
      <c r="A100" s="3"/>
      <c r="B100" s="3"/>
      <c r="C100" s="4"/>
      <c r="D100" s="4"/>
      <c r="E100" s="5"/>
      <c r="F100" s="6"/>
      <c r="AC100" s="3"/>
      <c r="AD100" s="3"/>
      <c r="AE100" s="3"/>
      <c r="AF100" s="3"/>
      <c r="AG100" s="3"/>
    </row>
    <row r="101" customFormat="false" ht="15.75" hidden="false" customHeight="false" outlineLevel="0" collapsed="false">
      <c r="A101" s="3"/>
      <c r="B101" s="3"/>
      <c r="C101" s="4"/>
      <c r="D101" s="4"/>
      <c r="E101" s="5"/>
      <c r="F101" s="6"/>
      <c r="AC101" s="3"/>
      <c r="AD101" s="3"/>
      <c r="AE101" s="3"/>
      <c r="AF101" s="3"/>
      <c r="AG101" s="3"/>
    </row>
    <row r="102" customFormat="false" ht="15.75" hidden="false" customHeight="false" outlineLevel="0" collapsed="false">
      <c r="A102" s="3"/>
      <c r="B102" s="3"/>
      <c r="C102" s="4"/>
      <c r="D102" s="4"/>
      <c r="E102" s="5"/>
      <c r="F102" s="6"/>
      <c r="AC102" s="3"/>
      <c r="AD102" s="3"/>
      <c r="AE102" s="3"/>
      <c r="AF102" s="3"/>
      <c r="AG102" s="3"/>
    </row>
    <row r="103" customFormat="false" ht="15.75" hidden="false" customHeight="false" outlineLevel="0" collapsed="false">
      <c r="A103" s="3"/>
      <c r="B103" s="3"/>
      <c r="C103" s="4"/>
      <c r="D103" s="4"/>
      <c r="E103" s="5"/>
      <c r="F103" s="6"/>
      <c r="AC103" s="3"/>
      <c r="AD103" s="3"/>
      <c r="AE103" s="3"/>
      <c r="AF103" s="3"/>
      <c r="AG103" s="3"/>
    </row>
    <row r="104" customFormat="false" ht="15.75" hidden="false" customHeight="false" outlineLevel="0" collapsed="false">
      <c r="A104" s="3"/>
      <c r="B104" s="3"/>
      <c r="C104" s="4"/>
      <c r="D104" s="4"/>
      <c r="E104" s="5"/>
      <c r="F104" s="6"/>
      <c r="W104" s="4"/>
      <c r="X104" s="4"/>
      <c r="Z104" s="7"/>
      <c r="AA104" s="4"/>
      <c r="AB104" s="3"/>
      <c r="AC104" s="3"/>
      <c r="AD104" s="3"/>
      <c r="AE104" s="3"/>
      <c r="AF104" s="3"/>
      <c r="AG104" s="3"/>
    </row>
    <row r="105" customFormat="false" ht="15.75" hidden="false" customHeight="false" outlineLevel="0" collapsed="false">
      <c r="A105" s="3"/>
      <c r="B105" s="3"/>
      <c r="C105" s="4"/>
      <c r="D105" s="4"/>
      <c r="E105" s="5"/>
      <c r="F105" s="6"/>
      <c r="N105" s="7"/>
      <c r="W105" s="4"/>
      <c r="X105" s="4"/>
      <c r="Z105" s="7"/>
      <c r="AA105" s="4"/>
      <c r="AB105" s="3"/>
      <c r="AC105" s="3"/>
      <c r="AD105" s="3"/>
      <c r="AE105" s="3"/>
      <c r="AF105" s="3"/>
      <c r="AG105" s="3"/>
    </row>
    <row r="106" customFormat="false" ht="15.75" hidden="false" customHeight="false" outlineLevel="0" collapsed="false">
      <c r="A106" s="3"/>
      <c r="B106" s="3"/>
      <c r="C106" s="4"/>
      <c r="D106" s="4"/>
      <c r="E106" s="5"/>
      <c r="F106" s="6"/>
      <c r="N106" s="7"/>
      <c r="W106" s="4"/>
      <c r="X106" s="4"/>
      <c r="Z106" s="7"/>
      <c r="AA106" s="4"/>
      <c r="AB106" s="3"/>
      <c r="AC106" s="3"/>
      <c r="AD106" s="3"/>
      <c r="AE106" s="3"/>
      <c r="AF106" s="3"/>
      <c r="AG106" s="3"/>
    </row>
    <row r="107" customFormat="false" ht="15.75" hidden="false" customHeight="false" outlineLevel="0" collapsed="false">
      <c r="A107" s="3"/>
      <c r="B107" s="3"/>
      <c r="C107" s="4"/>
      <c r="D107" s="4"/>
      <c r="E107" s="5"/>
      <c r="F107" s="6"/>
      <c r="N107" s="7"/>
      <c r="W107" s="4"/>
      <c r="X107" s="4"/>
      <c r="Z107" s="7"/>
      <c r="AA107" s="4"/>
      <c r="AB107" s="3"/>
      <c r="AC107" s="3"/>
      <c r="AD107" s="3"/>
      <c r="AE107" s="3"/>
      <c r="AF107" s="3"/>
      <c r="AG107" s="3"/>
    </row>
    <row r="108" customFormat="false" ht="15.75" hidden="false" customHeight="false" outlineLevel="0" collapsed="false">
      <c r="A108" s="3"/>
      <c r="B108" s="3"/>
      <c r="C108" s="4"/>
      <c r="D108" s="4"/>
      <c r="E108" s="5"/>
      <c r="F108" s="6"/>
      <c r="N108" s="7"/>
      <c r="W108" s="4"/>
      <c r="X108" s="4"/>
      <c r="Z108" s="7"/>
      <c r="AA108" s="4"/>
      <c r="AB108" s="3"/>
      <c r="AC108" s="3"/>
      <c r="AD108" s="3"/>
      <c r="AE108" s="3"/>
      <c r="AF108" s="3"/>
      <c r="AG108" s="3"/>
    </row>
    <row r="109" customFormat="false" ht="15.75" hidden="false" customHeight="false" outlineLevel="0" collapsed="false">
      <c r="A109" s="3"/>
      <c r="B109" s="3"/>
      <c r="C109" s="4"/>
      <c r="D109" s="4"/>
      <c r="E109" s="5"/>
      <c r="F109" s="6"/>
      <c r="N109" s="7"/>
      <c r="W109" s="4"/>
      <c r="X109" s="4"/>
      <c r="Z109" s="7"/>
      <c r="AA109" s="4"/>
      <c r="AB109" s="3"/>
      <c r="AC109" s="3"/>
      <c r="AD109" s="3"/>
      <c r="AE109" s="3"/>
      <c r="AF109" s="3"/>
      <c r="AG109" s="3"/>
    </row>
    <row r="110" customFormat="false" ht="15.75" hidden="false" customHeight="false" outlineLevel="0" collapsed="false">
      <c r="A110" s="3"/>
      <c r="B110" s="3"/>
      <c r="C110" s="4"/>
      <c r="D110" s="4"/>
      <c r="E110" s="5"/>
      <c r="F110" s="6"/>
      <c r="N110" s="7"/>
      <c r="W110" s="4"/>
      <c r="X110" s="4"/>
      <c r="Z110" s="7"/>
      <c r="AA110" s="4"/>
      <c r="AB110" s="3"/>
      <c r="AC110" s="3"/>
      <c r="AD110" s="3"/>
      <c r="AE110" s="3"/>
      <c r="AF110" s="3"/>
      <c r="AG110" s="3"/>
    </row>
    <row r="111" customFormat="false" ht="15.75" hidden="false" customHeight="false" outlineLevel="0" collapsed="false">
      <c r="A111" s="3"/>
      <c r="B111" s="3"/>
      <c r="C111" s="4"/>
      <c r="D111" s="4"/>
      <c r="E111" s="5"/>
      <c r="F111" s="6"/>
      <c r="N111" s="7"/>
      <c r="W111" s="4"/>
      <c r="X111" s="4"/>
      <c r="Z111" s="7"/>
      <c r="AA111" s="4"/>
      <c r="AB111" s="3"/>
      <c r="AC111" s="3"/>
      <c r="AD111" s="3"/>
      <c r="AE111" s="3"/>
      <c r="AF111" s="3"/>
      <c r="AG111" s="3"/>
    </row>
    <row r="112" customFormat="false" ht="15.75" hidden="false" customHeight="false" outlineLevel="0" collapsed="false">
      <c r="A112" s="3"/>
      <c r="B112" s="3"/>
      <c r="C112" s="4"/>
      <c r="D112" s="4"/>
      <c r="E112" s="5"/>
      <c r="F112" s="6"/>
      <c r="N112" s="7"/>
      <c r="W112" s="4"/>
      <c r="X112" s="4"/>
      <c r="Z112" s="7"/>
      <c r="AA112" s="4"/>
      <c r="AB112" s="3"/>
      <c r="AC112" s="3"/>
      <c r="AD112" s="3"/>
      <c r="AE112" s="3"/>
      <c r="AF112" s="3"/>
      <c r="AG112" s="3"/>
    </row>
    <row r="113" customFormat="false" ht="15.75" hidden="false" customHeight="false" outlineLevel="0" collapsed="false">
      <c r="A113" s="3"/>
      <c r="B113" s="3"/>
      <c r="C113" s="4"/>
      <c r="D113" s="4"/>
      <c r="E113" s="5"/>
      <c r="F113" s="6"/>
      <c r="N113" s="7"/>
      <c r="W113" s="4"/>
      <c r="X113" s="4"/>
      <c r="Z113" s="7"/>
      <c r="AA113" s="4"/>
      <c r="AB113" s="3"/>
      <c r="AC113" s="3"/>
      <c r="AD113" s="3"/>
      <c r="AE113" s="3"/>
      <c r="AF113" s="3"/>
      <c r="AG113" s="3"/>
    </row>
    <row r="114" customFormat="false" ht="15.75" hidden="false" customHeight="false" outlineLevel="0" collapsed="false">
      <c r="A114" s="3"/>
      <c r="B114" s="3"/>
      <c r="C114" s="4"/>
      <c r="D114" s="4"/>
      <c r="E114" s="5"/>
      <c r="F114" s="6"/>
      <c r="N114" s="7"/>
      <c r="W114" s="4"/>
      <c r="X114" s="4"/>
      <c r="Z114" s="7"/>
      <c r="AA114" s="4"/>
      <c r="AB114" s="3"/>
      <c r="AC114" s="3"/>
      <c r="AD114" s="3"/>
      <c r="AE114" s="3"/>
      <c r="AF114" s="3"/>
      <c r="AG114" s="3"/>
    </row>
    <row r="115" customFormat="false" ht="15.75" hidden="false" customHeight="false" outlineLevel="0" collapsed="false">
      <c r="A115" s="3"/>
      <c r="B115" s="3"/>
      <c r="C115" s="4"/>
      <c r="D115" s="4"/>
      <c r="E115" s="5"/>
      <c r="F115" s="6"/>
      <c r="N115" s="7"/>
      <c r="W115" s="4"/>
      <c r="X115" s="4"/>
      <c r="Z115" s="7"/>
      <c r="AA115" s="4"/>
      <c r="AB115" s="3"/>
      <c r="AC115" s="3"/>
      <c r="AD115" s="3"/>
      <c r="AE115" s="3"/>
      <c r="AF115" s="3"/>
      <c r="AG115" s="3"/>
    </row>
    <row r="116" customFormat="false" ht="15.75" hidden="false" customHeight="false" outlineLevel="0" collapsed="false">
      <c r="A116" s="3"/>
      <c r="B116" s="3"/>
      <c r="C116" s="4"/>
      <c r="D116" s="4"/>
      <c r="E116" s="5"/>
      <c r="F116" s="6"/>
      <c r="N116" s="7"/>
      <c r="W116" s="4"/>
      <c r="X116" s="4"/>
      <c r="Z116" s="7"/>
      <c r="AA116" s="4"/>
      <c r="AB116" s="3"/>
      <c r="AC116" s="3"/>
      <c r="AD116" s="3"/>
      <c r="AE116" s="3"/>
      <c r="AF116" s="3"/>
      <c r="AG116" s="3"/>
    </row>
    <row r="117" customFormat="false" ht="15.75" hidden="false" customHeight="false" outlineLevel="0" collapsed="false">
      <c r="A117" s="3"/>
      <c r="B117" s="3"/>
      <c r="C117" s="4"/>
      <c r="D117" s="4"/>
      <c r="E117" s="5"/>
      <c r="F117" s="6"/>
      <c r="N117" s="7"/>
      <c r="W117" s="4"/>
      <c r="X117" s="4"/>
      <c r="Z117" s="7"/>
      <c r="AA117" s="4"/>
      <c r="AB117" s="3"/>
      <c r="AC117" s="3"/>
      <c r="AD117" s="3"/>
      <c r="AE117" s="3"/>
      <c r="AF117" s="3"/>
      <c r="AG117" s="3"/>
    </row>
    <row r="118" customFormat="false" ht="15.75" hidden="false" customHeight="false" outlineLevel="0" collapsed="false">
      <c r="A118" s="3"/>
      <c r="B118" s="3"/>
      <c r="C118" s="4"/>
      <c r="D118" s="4"/>
      <c r="E118" s="5"/>
      <c r="F118" s="6"/>
      <c r="N118" s="7"/>
      <c r="W118" s="4"/>
      <c r="X118" s="4"/>
      <c r="Z118" s="7"/>
      <c r="AA118" s="4"/>
      <c r="AB118" s="3"/>
      <c r="AC118" s="3"/>
      <c r="AD118" s="3"/>
      <c r="AE118" s="3"/>
      <c r="AF118" s="3"/>
      <c r="AG118" s="3"/>
    </row>
    <row r="119" customFormat="false" ht="15.75" hidden="false" customHeight="false" outlineLevel="0" collapsed="false">
      <c r="A119" s="3"/>
      <c r="B119" s="3"/>
      <c r="C119" s="4"/>
      <c r="D119" s="4"/>
      <c r="E119" s="5"/>
      <c r="F119" s="6"/>
      <c r="N119" s="7"/>
      <c r="W119" s="4"/>
      <c r="X119" s="4"/>
      <c r="Z119" s="7"/>
      <c r="AA119" s="4"/>
      <c r="AB119" s="3"/>
      <c r="AC119" s="3"/>
      <c r="AD119" s="3"/>
      <c r="AE119" s="3"/>
      <c r="AF119" s="3"/>
      <c r="AG119" s="3"/>
    </row>
    <row r="120" customFormat="false" ht="15.75" hidden="false" customHeight="false" outlineLevel="0" collapsed="false">
      <c r="A120" s="3"/>
      <c r="B120" s="3"/>
      <c r="C120" s="4"/>
      <c r="D120" s="4"/>
      <c r="E120" s="5"/>
      <c r="F120" s="6"/>
      <c r="N120" s="7"/>
      <c r="W120" s="4"/>
      <c r="X120" s="4"/>
      <c r="Z120" s="7"/>
      <c r="AA120" s="4"/>
      <c r="AB120" s="3"/>
      <c r="AC120" s="3"/>
      <c r="AD120" s="3"/>
      <c r="AE120" s="3"/>
      <c r="AF120" s="3"/>
      <c r="AG120" s="3"/>
    </row>
    <row r="121" customFormat="false" ht="15.75" hidden="false" customHeight="false" outlineLevel="0" collapsed="false">
      <c r="A121" s="3"/>
      <c r="B121" s="3"/>
      <c r="C121" s="4"/>
      <c r="D121" s="4"/>
      <c r="E121" s="5"/>
      <c r="F121" s="6"/>
      <c r="N121" s="7"/>
      <c r="W121" s="4"/>
      <c r="X121" s="4"/>
      <c r="Z121" s="7"/>
      <c r="AA121" s="4"/>
      <c r="AB121" s="3"/>
      <c r="AC121" s="3"/>
      <c r="AD121" s="3"/>
      <c r="AE121" s="3"/>
      <c r="AF121" s="3"/>
      <c r="AG121" s="3"/>
    </row>
    <row r="122" customFormat="false" ht="15.75" hidden="false" customHeight="false" outlineLevel="0" collapsed="false">
      <c r="A122" s="3"/>
      <c r="B122" s="3"/>
      <c r="C122" s="4"/>
      <c r="D122" s="4"/>
      <c r="E122" s="5"/>
      <c r="F122" s="6"/>
      <c r="N122" s="7"/>
      <c r="W122" s="4"/>
      <c r="X122" s="4"/>
      <c r="Z122" s="7"/>
      <c r="AA122" s="4"/>
      <c r="AB122" s="3"/>
      <c r="AC122" s="3"/>
      <c r="AD122" s="3"/>
      <c r="AE122" s="3"/>
      <c r="AF122" s="3"/>
      <c r="AG122" s="3"/>
    </row>
    <row r="123" customFormat="false" ht="15.75" hidden="false" customHeight="false" outlineLevel="0" collapsed="false">
      <c r="A123" s="3"/>
      <c r="B123" s="3"/>
      <c r="C123" s="4"/>
      <c r="D123" s="4"/>
      <c r="E123" s="5"/>
      <c r="F123" s="6"/>
      <c r="N123" s="7"/>
      <c r="W123" s="4"/>
      <c r="X123" s="4"/>
      <c r="Z123" s="7"/>
      <c r="AA123" s="4"/>
      <c r="AB123" s="3"/>
      <c r="AC123" s="3"/>
      <c r="AD123" s="3"/>
      <c r="AE123" s="3"/>
      <c r="AF123" s="3"/>
      <c r="AG123" s="3"/>
    </row>
    <row r="124" customFormat="false" ht="15.75" hidden="false" customHeight="false" outlineLevel="0" collapsed="false">
      <c r="A124" s="3"/>
      <c r="B124" s="3"/>
      <c r="C124" s="4"/>
      <c r="D124" s="4"/>
      <c r="E124" s="5"/>
      <c r="F124" s="6"/>
      <c r="N124" s="7"/>
      <c r="W124" s="4"/>
      <c r="X124" s="4"/>
      <c r="Z124" s="7"/>
      <c r="AA124" s="4"/>
      <c r="AB124" s="3"/>
      <c r="AC124" s="3"/>
      <c r="AD124" s="3"/>
      <c r="AE124" s="3"/>
      <c r="AF124" s="3"/>
      <c r="AG124" s="3"/>
    </row>
    <row r="125" customFormat="false" ht="15.75" hidden="false" customHeight="false" outlineLevel="0" collapsed="false">
      <c r="A125" s="3"/>
      <c r="B125" s="3"/>
      <c r="C125" s="4"/>
      <c r="D125" s="4"/>
      <c r="E125" s="5"/>
      <c r="F125" s="6"/>
      <c r="N125" s="7"/>
      <c r="W125" s="4"/>
      <c r="X125" s="4"/>
      <c r="Z125" s="7"/>
      <c r="AA125" s="4"/>
      <c r="AB125" s="3"/>
      <c r="AC125" s="3"/>
      <c r="AD125" s="3"/>
      <c r="AE125" s="3"/>
      <c r="AF125" s="3"/>
      <c r="AG125" s="3"/>
    </row>
    <row r="126" customFormat="false" ht="15.75" hidden="false" customHeight="false" outlineLevel="0" collapsed="false">
      <c r="A126" s="3"/>
      <c r="B126" s="3"/>
      <c r="C126" s="4"/>
      <c r="D126" s="4"/>
      <c r="E126" s="5"/>
      <c r="F126" s="6"/>
      <c r="N126" s="7"/>
      <c r="W126" s="4"/>
      <c r="X126" s="4"/>
      <c r="Z126" s="7"/>
      <c r="AA126" s="4"/>
      <c r="AB126" s="3"/>
      <c r="AC126" s="3"/>
      <c r="AD126" s="3"/>
      <c r="AE126" s="3"/>
      <c r="AF126" s="3"/>
      <c r="AG126" s="3"/>
    </row>
    <row r="127" customFormat="false" ht="15.75" hidden="false" customHeight="false" outlineLevel="0" collapsed="false">
      <c r="A127" s="3"/>
      <c r="B127" s="3"/>
      <c r="C127" s="4"/>
      <c r="D127" s="4"/>
      <c r="E127" s="5"/>
      <c r="F127" s="6"/>
      <c r="N127" s="7"/>
      <c r="W127" s="4"/>
      <c r="X127" s="4"/>
      <c r="Z127" s="7"/>
      <c r="AA127" s="4"/>
      <c r="AB127" s="3"/>
      <c r="AC127" s="3"/>
      <c r="AD127" s="3"/>
      <c r="AE127" s="3"/>
      <c r="AF127" s="3"/>
      <c r="AG127" s="3"/>
    </row>
    <row r="128" customFormat="false" ht="15.75" hidden="false" customHeight="false" outlineLevel="0" collapsed="false">
      <c r="A128" s="3"/>
      <c r="B128" s="3"/>
      <c r="C128" s="4"/>
      <c r="D128" s="4"/>
      <c r="E128" s="5"/>
      <c r="F128" s="6"/>
      <c r="N128" s="7"/>
      <c r="W128" s="4"/>
      <c r="X128" s="4"/>
      <c r="Z128" s="7"/>
      <c r="AA128" s="4"/>
      <c r="AB128" s="3"/>
      <c r="AC128" s="3"/>
      <c r="AD128" s="3"/>
      <c r="AE128" s="3"/>
      <c r="AF128" s="3"/>
      <c r="AG128" s="3"/>
    </row>
    <row r="129" customFormat="false" ht="15.75" hidden="false" customHeight="false" outlineLevel="0" collapsed="false">
      <c r="A129" s="3"/>
      <c r="B129" s="3"/>
      <c r="C129" s="4"/>
      <c r="D129" s="4"/>
      <c r="E129" s="5"/>
      <c r="F129" s="6"/>
      <c r="N129" s="7"/>
      <c r="W129" s="4"/>
      <c r="X129" s="4"/>
      <c r="Z129" s="7"/>
      <c r="AA129" s="4"/>
      <c r="AB129" s="3"/>
      <c r="AC129" s="3"/>
      <c r="AD129" s="3"/>
      <c r="AE129" s="3"/>
      <c r="AF129" s="3"/>
      <c r="AG129" s="3"/>
    </row>
    <row r="130" customFormat="false" ht="15.75" hidden="false" customHeight="false" outlineLevel="0" collapsed="false">
      <c r="A130" s="3"/>
      <c r="B130" s="3"/>
      <c r="C130" s="4"/>
      <c r="D130" s="4"/>
      <c r="E130" s="5"/>
      <c r="F130" s="6"/>
      <c r="N130" s="7"/>
      <c r="W130" s="4"/>
      <c r="X130" s="4"/>
      <c r="Z130" s="7"/>
      <c r="AA130" s="4"/>
      <c r="AB130" s="3"/>
      <c r="AC130" s="3"/>
      <c r="AD130" s="3"/>
      <c r="AE130" s="3"/>
      <c r="AF130" s="3"/>
      <c r="AG130" s="3"/>
    </row>
    <row r="131" customFormat="false" ht="15.75" hidden="false" customHeight="false" outlineLevel="0" collapsed="false">
      <c r="A131" s="3"/>
      <c r="B131" s="3"/>
      <c r="C131" s="4"/>
      <c r="D131" s="4"/>
      <c r="E131" s="5"/>
      <c r="F131" s="6"/>
      <c r="N131" s="7"/>
      <c r="W131" s="4"/>
      <c r="X131" s="4"/>
      <c r="Z131" s="7"/>
      <c r="AA131" s="4"/>
      <c r="AB131" s="3"/>
      <c r="AC131" s="3"/>
      <c r="AD131" s="3"/>
      <c r="AE131" s="3"/>
      <c r="AF131" s="3"/>
      <c r="AG131" s="3"/>
    </row>
    <row r="132" customFormat="false" ht="15.75" hidden="false" customHeight="false" outlineLevel="0" collapsed="false">
      <c r="A132" s="3"/>
      <c r="B132" s="3"/>
      <c r="C132" s="4"/>
      <c r="D132" s="4"/>
      <c r="E132" s="5"/>
      <c r="F132" s="6"/>
      <c r="N132" s="7"/>
      <c r="W132" s="4"/>
      <c r="X132" s="4"/>
      <c r="Z132" s="7"/>
      <c r="AA132" s="4"/>
      <c r="AB132" s="3"/>
      <c r="AC132" s="3"/>
      <c r="AD132" s="3"/>
      <c r="AE132" s="3"/>
      <c r="AF132" s="3"/>
      <c r="AG132" s="3"/>
    </row>
    <row r="133" customFormat="false" ht="15.75" hidden="false" customHeight="false" outlineLevel="0" collapsed="false">
      <c r="A133" s="3"/>
      <c r="B133" s="3"/>
      <c r="C133" s="4"/>
      <c r="D133" s="4"/>
      <c r="E133" s="5"/>
      <c r="F133" s="6"/>
      <c r="N133" s="7"/>
      <c r="W133" s="4"/>
      <c r="X133" s="4"/>
      <c r="Z133" s="7"/>
      <c r="AA133" s="4"/>
      <c r="AB133" s="3"/>
      <c r="AC133" s="3"/>
      <c r="AD133" s="3"/>
      <c r="AE133" s="3"/>
      <c r="AF133" s="3"/>
      <c r="AG133" s="3"/>
    </row>
    <row r="134" customFormat="false" ht="15.75" hidden="false" customHeight="false" outlineLevel="0" collapsed="false">
      <c r="A134" s="3"/>
      <c r="B134" s="3"/>
      <c r="C134" s="4"/>
      <c r="D134" s="4"/>
      <c r="E134" s="5"/>
      <c r="F134" s="6"/>
      <c r="N134" s="7"/>
      <c r="W134" s="4"/>
      <c r="X134" s="4"/>
      <c r="Z134" s="7"/>
      <c r="AA134" s="4"/>
      <c r="AB134" s="3"/>
      <c r="AC134" s="3"/>
      <c r="AD134" s="3"/>
      <c r="AE134" s="3"/>
      <c r="AF134" s="3"/>
      <c r="AG134" s="3"/>
    </row>
    <row r="135" customFormat="false" ht="15.75" hidden="false" customHeight="false" outlineLevel="0" collapsed="false">
      <c r="A135" s="3"/>
      <c r="B135" s="3"/>
      <c r="C135" s="4"/>
      <c r="D135" s="4"/>
      <c r="E135" s="5"/>
      <c r="F135" s="6"/>
      <c r="N135" s="7"/>
      <c r="W135" s="4"/>
      <c r="X135" s="4"/>
      <c r="Z135" s="7"/>
      <c r="AA135" s="4"/>
      <c r="AB135" s="3"/>
      <c r="AC135" s="3"/>
      <c r="AD135" s="3"/>
      <c r="AE135" s="3"/>
      <c r="AF135" s="3"/>
      <c r="AG135" s="3"/>
    </row>
    <row r="136" customFormat="false" ht="15.75" hidden="false" customHeight="false" outlineLevel="0" collapsed="false">
      <c r="A136" s="3"/>
      <c r="B136" s="3"/>
      <c r="C136" s="4"/>
      <c r="D136" s="4"/>
      <c r="E136" s="5"/>
      <c r="F136" s="6"/>
      <c r="N136" s="7"/>
      <c r="W136" s="4"/>
      <c r="X136" s="4"/>
      <c r="Z136" s="7"/>
      <c r="AA136" s="4"/>
      <c r="AB136" s="3"/>
      <c r="AC136" s="3"/>
      <c r="AD136" s="3"/>
      <c r="AE136" s="3"/>
      <c r="AF136" s="3"/>
      <c r="AG136" s="3"/>
    </row>
    <row r="137" customFormat="false" ht="15.75" hidden="false" customHeight="false" outlineLevel="0" collapsed="false">
      <c r="A137" s="3"/>
      <c r="B137" s="3"/>
      <c r="C137" s="4"/>
      <c r="D137" s="4"/>
      <c r="E137" s="5"/>
      <c r="F137" s="6"/>
      <c r="N137" s="7"/>
      <c r="W137" s="4"/>
      <c r="X137" s="4"/>
      <c r="Z137" s="7"/>
      <c r="AA137" s="4"/>
      <c r="AB137" s="3"/>
      <c r="AC137" s="3"/>
      <c r="AD137" s="3"/>
      <c r="AE137" s="3"/>
      <c r="AF137" s="3"/>
      <c r="AG137" s="3"/>
    </row>
    <row r="138" customFormat="false" ht="15.75" hidden="false" customHeight="false" outlineLevel="0" collapsed="false">
      <c r="A138" s="3"/>
      <c r="B138" s="3"/>
      <c r="C138" s="4"/>
      <c r="D138" s="4"/>
      <c r="E138" s="5"/>
      <c r="F138" s="6"/>
      <c r="N138" s="7"/>
      <c r="W138" s="4"/>
      <c r="X138" s="4"/>
      <c r="Z138" s="7"/>
      <c r="AA138" s="4"/>
      <c r="AB138" s="3"/>
      <c r="AC138" s="3"/>
      <c r="AD138" s="3"/>
      <c r="AE138" s="3"/>
      <c r="AF138" s="3"/>
      <c r="AG138" s="3"/>
    </row>
    <row r="139" customFormat="false" ht="15.75" hidden="false" customHeight="false" outlineLevel="0" collapsed="false">
      <c r="A139" s="3"/>
      <c r="B139" s="3"/>
      <c r="C139" s="4"/>
      <c r="D139" s="4"/>
      <c r="E139" s="5"/>
      <c r="F139" s="6"/>
      <c r="N139" s="7"/>
      <c r="W139" s="4"/>
      <c r="X139" s="4"/>
      <c r="Z139" s="7"/>
      <c r="AA139" s="4"/>
      <c r="AB139" s="3"/>
      <c r="AC139" s="3"/>
      <c r="AD139" s="3"/>
      <c r="AE139" s="3"/>
      <c r="AF139" s="3"/>
      <c r="AG139" s="3"/>
    </row>
    <row r="140" customFormat="false" ht="15.75" hidden="false" customHeight="false" outlineLevel="0" collapsed="false">
      <c r="A140" s="3"/>
      <c r="B140" s="3"/>
      <c r="C140" s="4"/>
      <c r="D140" s="4"/>
      <c r="E140" s="5"/>
      <c r="F140" s="6"/>
      <c r="N140" s="7"/>
      <c r="W140" s="4"/>
      <c r="X140" s="4"/>
      <c r="Z140" s="7"/>
      <c r="AA140" s="4"/>
      <c r="AB140" s="3"/>
      <c r="AC140" s="3"/>
      <c r="AD140" s="3"/>
      <c r="AE140" s="3"/>
      <c r="AF140" s="3"/>
      <c r="AG140" s="3"/>
    </row>
    <row r="141" customFormat="false" ht="15.75" hidden="false" customHeight="false" outlineLevel="0" collapsed="false">
      <c r="A141" s="3"/>
      <c r="B141" s="3"/>
      <c r="C141" s="4"/>
      <c r="D141" s="4"/>
      <c r="E141" s="5"/>
      <c r="F141" s="6"/>
      <c r="N141" s="7"/>
      <c r="W141" s="4"/>
      <c r="X141" s="4"/>
      <c r="Z141" s="7"/>
      <c r="AA141" s="4"/>
      <c r="AB141" s="3"/>
      <c r="AC141" s="3"/>
      <c r="AD141" s="3"/>
      <c r="AE141" s="3"/>
      <c r="AF141" s="3"/>
      <c r="AG141" s="3"/>
    </row>
    <row r="142" customFormat="false" ht="15.75" hidden="false" customHeight="false" outlineLevel="0" collapsed="false">
      <c r="A142" s="3"/>
      <c r="B142" s="3"/>
      <c r="C142" s="4"/>
      <c r="D142" s="4"/>
      <c r="E142" s="5"/>
      <c r="F142" s="6"/>
      <c r="N142" s="7"/>
      <c r="W142" s="4"/>
      <c r="X142" s="4"/>
      <c r="Z142" s="7"/>
      <c r="AA142" s="4"/>
      <c r="AB142" s="3"/>
      <c r="AC142" s="3"/>
      <c r="AD142" s="3"/>
      <c r="AE142" s="3"/>
      <c r="AF142" s="3"/>
      <c r="AG142" s="3"/>
    </row>
    <row r="143" customFormat="false" ht="15.75" hidden="false" customHeight="false" outlineLevel="0" collapsed="false">
      <c r="A143" s="3"/>
      <c r="B143" s="3"/>
      <c r="C143" s="4"/>
      <c r="D143" s="4"/>
      <c r="E143" s="5"/>
      <c r="F143" s="6"/>
      <c r="N143" s="7"/>
      <c r="W143" s="4"/>
      <c r="X143" s="4"/>
      <c r="Z143" s="7"/>
      <c r="AA143" s="4"/>
      <c r="AB143" s="3"/>
      <c r="AC143" s="3"/>
      <c r="AD143" s="3"/>
      <c r="AE143" s="3"/>
      <c r="AF143" s="3"/>
      <c r="AG143" s="3"/>
    </row>
    <row r="144" customFormat="false" ht="15.75" hidden="false" customHeight="false" outlineLevel="0" collapsed="false">
      <c r="A144" s="3"/>
      <c r="B144" s="3"/>
      <c r="C144" s="4"/>
      <c r="D144" s="4"/>
      <c r="E144" s="5"/>
      <c r="F144" s="6"/>
      <c r="N144" s="7"/>
      <c r="W144" s="4"/>
      <c r="X144" s="4"/>
      <c r="Z144" s="7"/>
      <c r="AA144" s="4"/>
      <c r="AB144" s="3"/>
      <c r="AC144" s="3"/>
      <c r="AD144" s="3"/>
      <c r="AE144" s="3"/>
      <c r="AF144" s="3"/>
      <c r="AG144" s="3"/>
    </row>
    <row r="145" customFormat="false" ht="15.75" hidden="false" customHeight="false" outlineLevel="0" collapsed="false">
      <c r="A145" s="3"/>
      <c r="B145" s="3"/>
      <c r="C145" s="4"/>
      <c r="D145" s="4"/>
      <c r="E145" s="5"/>
      <c r="F145" s="6"/>
      <c r="N145" s="7"/>
      <c r="W145" s="4"/>
      <c r="X145" s="4"/>
      <c r="Z145" s="7"/>
      <c r="AA145" s="4"/>
      <c r="AB145" s="3"/>
      <c r="AC145" s="3"/>
      <c r="AD145" s="3"/>
      <c r="AE145" s="3"/>
      <c r="AF145" s="3"/>
      <c r="AG145" s="3"/>
    </row>
    <row r="146" customFormat="false" ht="15.75" hidden="false" customHeight="false" outlineLevel="0" collapsed="false">
      <c r="A146" s="3"/>
      <c r="B146" s="3"/>
      <c r="C146" s="4"/>
      <c r="D146" s="4"/>
      <c r="E146" s="5"/>
      <c r="F146" s="6"/>
      <c r="N146" s="7"/>
      <c r="W146" s="4"/>
      <c r="X146" s="4"/>
      <c r="Z146" s="7"/>
      <c r="AA146" s="4"/>
      <c r="AB146" s="3"/>
      <c r="AC146" s="3"/>
      <c r="AD146" s="3"/>
      <c r="AE146" s="3"/>
      <c r="AF146" s="3"/>
      <c r="AG146" s="3"/>
    </row>
    <row r="147" customFormat="false" ht="15.75" hidden="false" customHeight="false" outlineLevel="0" collapsed="false">
      <c r="A147" s="3"/>
      <c r="B147" s="3"/>
      <c r="C147" s="4"/>
      <c r="D147" s="4"/>
      <c r="E147" s="5"/>
      <c r="F147" s="6"/>
      <c r="N147" s="7"/>
      <c r="W147" s="4"/>
      <c r="X147" s="4"/>
      <c r="Z147" s="7"/>
      <c r="AA147" s="4"/>
      <c r="AB147" s="3"/>
      <c r="AC147" s="3"/>
      <c r="AD147" s="3"/>
      <c r="AE147" s="3"/>
      <c r="AF147" s="3"/>
      <c r="AG147" s="3"/>
    </row>
    <row r="148" customFormat="false" ht="15.75" hidden="false" customHeight="false" outlineLevel="0" collapsed="false">
      <c r="A148" s="3"/>
      <c r="B148" s="3"/>
      <c r="C148" s="4"/>
      <c r="D148" s="4"/>
      <c r="E148" s="5"/>
      <c r="F148" s="6"/>
      <c r="N148" s="7"/>
      <c r="W148" s="4"/>
      <c r="X148" s="4"/>
      <c r="Z148" s="7"/>
      <c r="AA148" s="4"/>
      <c r="AB148" s="3"/>
      <c r="AC148" s="3"/>
      <c r="AD148" s="3"/>
      <c r="AE148" s="3"/>
      <c r="AF148" s="3"/>
      <c r="AG148" s="3"/>
    </row>
    <row r="149" customFormat="false" ht="15.75" hidden="false" customHeight="false" outlineLevel="0" collapsed="false">
      <c r="A149" s="3"/>
      <c r="B149" s="3"/>
      <c r="C149" s="4"/>
      <c r="D149" s="4"/>
      <c r="E149" s="5"/>
      <c r="F149" s="6"/>
      <c r="N149" s="7"/>
      <c r="W149" s="4"/>
      <c r="X149" s="4"/>
      <c r="Z149" s="7"/>
      <c r="AA149" s="4"/>
      <c r="AB149" s="3"/>
      <c r="AC149" s="3"/>
      <c r="AD149" s="3"/>
      <c r="AE149" s="3"/>
      <c r="AF149" s="3"/>
      <c r="AG149" s="3"/>
    </row>
    <row r="150" customFormat="false" ht="15.75" hidden="false" customHeight="false" outlineLevel="0" collapsed="false">
      <c r="A150" s="3"/>
      <c r="B150" s="3"/>
      <c r="C150" s="4"/>
      <c r="D150" s="4"/>
      <c r="E150" s="5"/>
      <c r="F150" s="6"/>
      <c r="N150" s="7"/>
      <c r="W150" s="4"/>
      <c r="X150" s="4"/>
      <c r="Z150" s="7"/>
      <c r="AA150" s="4"/>
      <c r="AB150" s="3"/>
      <c r="AC150" s="3"/>
      <c r="AD150" s="3"/>
      <c r="AE150" s="3"/>
      <c r="AF150" s="3"/>
      <c r="AG150" s="3"/>
    </row>
    <row r="151" customFormat="false" ht="15.75" hidden="false" customHeight="false" outlineLevel="0" collapsed="false">
      <c r="A151" s="3"/>
      <c r="B151" s="3"/>
      <c r="C151" s="4"/>
      <c r="D151" s="4"/>
      <c r="E151" s="5"/>
      <c r="F151" s="6"/>
      <c r="N151" s="7"/>
      <c r="W151" s="4"/>
      <c r="X151" s="4"/>
      <c r="Z151" s="7"/>
      <c r="AA151" s="4"/>
      <c r="AB151" s="3"/>
      <c r="AC151" s="3"/>
      <c r="AD151" s="3"/>
      <c r="AE151" s="3"/>
      <c r="AF151" s="3"/>
      <c r="AG151" s="3"/>
    </row>
    <row r="152" customFormat="false" ht="15.75" hidden="false" customHeight="false" outlineLevel="0" collapsed="false">
      <c r="A152" s="3"/>
      <c r="B152" s="3"/>
      <c r="C152" s="4"/>
      <c r="D152" s="4"/>
      <c r="E152" s="5"/>
      <c r="F152" s="6"/>
      <c r="N152" s="7"/>
      <c r="W152" s="4"/>
      <c r="X152" s="4"/>
      <c r="Z152" s="7"/>
      <c r="AA152" s="4"/>
      <c r="AB152" s="3"/>
      <c r="AC152" s="3"/>
      <c r="AD152" s="3"/>
      <c r="AE152" s="3"/>
      <c r="AF152" s="3"/>
      <c r="AG152" s="3"/>
    </row>
    <row r="153" customFormat="false" ht="15.75" hidden="false" customHeight="false" outlineLevel="0" collapsed="false">
      <c r="A153" s="3"/>
      <c r="B153" s="3"/>
      <c r="C153" s="4"/>
      <c r="D153" s="4"/>
      <c r="E153" s="5"/>
      <c r="F153" s="6"/>
      <c r="N153" s="7"/>
      <c r="W153" s="4"/>
      <c r="X153" s="4"/>
      <c r="Z153" s="7"/>
      <c r="AA153" s="4"/>
      <c r="AB153" s="3"/>
      <c r="AC153" s="3"/>
      <c r="AD153" s="3"/>
      <c r="AE153" s="3"/>
      <c r="AF153" s="3"/>
      <c r="AG153" s="3"/>
    </row>
    <row r="154" customFormat="false" ht="15.75" hidden="false" customHeight="false" outlineLevel="0" collapsed="false">
      <c r="A154" s="3"/>
      <c r="B154" s="3"/>
      <c r="C154" s="4"/>
      <c r="D154" s="4"/>
      <c r="E154" s="5"/>
      <c r="F154" s="6"/>
      <c r="N154" s="7"/>
      <c r="W154" s="4"/>
      <c r="X154" s="4"/>
      <c r="Z154" s="7"/>
      <c r="AA154" s="4"/>
      <c r="AB154" s="3"/>
      <c r="AC154" s="3"/>
      <c r="AD154" s="3"/>
      <c r="AE154" s="3"/>
      <c r="AF154" s="3"/>
      <c r="AG154" s="3"/>
    </row>
    <row r="155" customFormat="false" ht="15.75" hidden="false" customHeight="false" outlineLevel="0" collapsed="false">
      <c r="A155" s="3"/>
      <c r="B155" s="3"/>
      <c r="C155" s="4"/>
      <c r="D155" s="4"/>
      <c r="E155" s="5"/>
      <c r="F155" s="6"/>
      <c r="N155" s="7"/>
      <c r="W155" s="4"/>
      <c r="X155" s="4"/>
      <c r="Z155" s="7"/>
      <c r="AA155" s="4"/>
      <c r="AB155" s="3"/>
      <c r="AC155" s="3"/>
      <c r="AD155" s="3"/>
      <c r="AE155" s="3"/>
      <c r="AF155" s="3"/>
      <c r="AG155" s="3"/>
    </row>
    <row r="156" customFormat="false" ht="15.75" hidden="false" customHeight="false" outlineLevel="0" collapsed="false">
      <c r="A156" s="3"/>
      <c r="B156" s="3"/>
      <c r="C156" s="4"/>
      <c r="D156" s="4"/>
      <c r="E156" s="5"/>
      <c r="F156" s="6"/>
      <c r="N156" s="7"/>
      <c r="W156" s="4"/>
      <c r="X156" s="4"/>
      <c r="Z156" s="7"/>
      <c r="AA156" s="4"/>
      <c r="AB156" s="3"/>
      <c r="AC156" s="3"/>
      <c r="AD156" s="3"/>
      <c r="AE156" s="3"/>
      <c r="AF156" s="3"/>
      <c r="AG156" s="3"/>
    </row>
    <row r="157" customFormat="false" ht="15.75" hidden="false" customHeight="false" outlineLevel="0" collapsed="false">
      <c r="A157" s="3"/>
      <c r="B157" s="3"/>
      <c r="C157" s="4"/>
      <c r="D157" s="4"/>
      <c r="E157" s="5"/>
      <c r="F157" s="6"/>
      <c r="N157" s="7"/>
      <c r="W157" s="4"/>
      <c r="X157" s="4"/>
      <c r="Z157" s="7"/>
      <c r="AA157" s="4"/>
      <c r="AB157" s="3"/>
      <c r="AC157" s="3"/>
      <c r="AD157" s="3"/>
      <c r="AE157" s="3"/>
      <c r="AF157" s="3"/>
      <c r="AG157" s="3"/>
    </row>
    <row r="158" customFormat="false" ht="15.75" hidden="false" customHeight="false" outlineLevel="0" collapsed="false">
      <c r="A158" s="3"/>
      <c r="B158" s="3"/>
      <c r="C158" s="4"/>
      <c r="D158" s="4"/>
      <c r="E158" s="5"/>
      <c r="F158" s="6"/>
      <c r="N158" s="7"/>
      <c r="W158" s="4"/>
      <c r="X158" s="4"/>
      <c r="Z158" s="7"/>
      <c r="AA158" s="4"/>
      <c r="AB158" s="3"/>
      <c r="AC158" s="3"/>
      <c r="AD158" s="3"/>
      <c r="AE158" s="3"/>
      <c r="AF158" s="3"/>
      <c r="AG158" s="3"/>
    </row>
    <row r="159" customFormat="false" ht="15.75" hidden="false" customHeight="false" outlineLevel="0" collapsed="false">
      <c r="A159" s="3"/>
      <c r="B159" s="3"/>
      <c r="C159" s="4"/>
      <c r="D159" s="4"/>
      <c r="E159" s="5"/>
      <c r="F159" s="6"/>
      <c r="N159" s="7"/>
      <c r="W159" s="4"/>
      <c r="X159" s="4"/>
      <c r="Z159" s="7"/>
      <c r="AA159" s="4"/>
      <c r="AB159" s="3"/>
      <c r="AC159" s="3"/>
      <c r="AD159" s="3"/>
      <c r="AE159" s="3"/>
      <c r="AF159" s="3"/>
      <c r="AG159" s="3"/>
    </row>
    <row r="160" customFormat="false" ht="15.75" hidden="false" customHeight="false" outlineLevel="0" collapsed="false">
      <c r="A160" s="3"/>
      <c r="B160" s="3"/>
      <c r="C160" s="4"/>
      <c r="D160" s="4"/>
      <c r="E160" s="5"/>
      <c r="F160" s="6"/>
      <c r="N160" s="7"/>
      <c r="W160" s="4"/>
      <c r="X160" s="4"/>
      <c r="Z160" s="7"/>
      <c r="AA160" s="4"/>
      <c r="AB160" s="3"/>
      <c r="AC160" s="3"/>
      <c r="AD160" s="3"/>
      <c r="AE160" s="3"/>
      <c r="AF160" s="3"/>
      <c r="AG160" s="3"/>
    </row>
    <row r="161" customFormat="false" ht="15.75" hidden="false" customHeight="false" outlineLevel="0" collapsed="false">
      <c r="A161" s="3"/>
      <c r="B161" s="3"/>
      <c r="C161" s="4"/>
      <c r="D161" s="4"/>
      <c r="E161" s="5"/>
      <c r="F161" s="6"/>
      <c r="N161" s="7"/>
      <c r="W161" s="4"/>
      <c r="X161" s="4"/>
      <c r="Z161" s="7"/>
      <c r="AA161" s="4"/>
      <c r="AB161" s="3"/>
      <c r="AC161" s="3"/>
      <c r="AD161" s="3"/>
      <c r="AE161" s="3"/>
      <c r="AF161" s="3"/>
      <c r="AG161" s="3"/>
    </row>
    <row r="162" customFormat="false" ht="15.75" hidden="false" customHeight="false" outlineLevel="0" collapsed="false">
      <c r="A162" s="3"/>
      <c r="B162" s="3"/>
      <c r="C162" s="4"/>
      <c r="D162" s="4"/>
      <c r="E162" s="5"/>
      <c r="F162" s="6"/>
      <c r="N162" s="7"/>
      <c r="W162" s="4"/>
      <c r="X162" s="4"/>
      <c r="Z162" s="7"/>
      <c r="AA162" s="4"/>
      <c r="AB162" s="3"/>
      <c r="AC162" s="3"/>
      <c r="AD162" s="3"/>
      <c r="AE162" s="3"/>
      <c r="AF162" s="3"/>
      <c r="AG162" s="3"/>
    </row>
    <row r="163" customFormat="false" ht="15.75" hidden="false" customHeight="false" outlineLevel="0" collapsed="false">
      <c r="A163" s="3"/>
      <c r="B163" s="3"/>
      <c r="C163" s="4"/>
      <c r="D163" s="4"/>
      <c r="E163" s="5"/>
      <c r="F163" s="6"/>
      <c r="N163" s="7"/>
      <c r="W163" s="4"/>
      <c r="X163" s="4"/>
      <c r="Z163" s="7"/>
      <c r="AA163" s="4"/>
      <c r="AB163" s="3"/>
      <c r="AC163" s="3"/>
      <c r="AD163" s="3"/>
      <c r="AE163" s="3"/>
      <c r="AF163" s="3"/>
      <c r="AG163" s="3"/>
    </row>
    <row r="164" customFormat="false" ht="15.75" hidden="false" customHeight="false" outlineLevel="0" collapsed="false">
      <c r="A164" s="3"/>
      <c r="B164" s="3"/>
      <c r="C164" s="4"/>
      <c r="D164" s="4"/>
      <c r="E164" s="5"/>
      <c r="F164" s="6"/>
      <c r="N164" s="7"/>
      <c r="W164" s="4"/>
      <c r="X164" s="4"/>
      <c r="Z164" s="7"/>
      <c r="AA164" s="4"/>
      <c r="AB164" s="3"/>
      <c r="AC164" s="3"/>
      <c r="AD164" s="3"/>
      <c r="AE164" s="3"/>
      <c r="AF164" s="3"/>
      <c r="AG164" s="3"/>
    </row>
    <row r="165" customFormat="false" ht="15.75" hidden="false" customHeight="false" outlineLevel="0" collapsed="false">
      <c r="A165" s="3"/>
      <c r="B165" s="3"/>
      <c r="C165" s="4"/>
      <c r="D165" s="4"/>
      <c r="E165" s="5"/>
      <c r="F165" s="6"/>
      <c r="N165" s="7"/>
      <c r="W165" s="4"/>
      <c r="X165" s="4"/>
      <c r="Z165" s="7"/>
      <c r="AA165" s="4"/>
      <c r="AB165" s="3"/>
      <c r="AC165" s="3"/>
      <c r="AD165" s="3"/>
      <c r="AE165" s="3"/>
      <c r="AF165" s="3"/>
      <c r="AG165" s="3"/>
    </row>
    <row r="166" customFormat="false" ht="15.75" hidden="false" customHeight="false" outlineLevel="0" collapsed="false">
      <c r="A166" s="3"/>
      <c r="B166" s="3"/>
      <c r="C166" s="4"/>
      <c r="D166" s="4"/>
      <c r="E166" s="5"/>
      <c r="F166" s="6"/>
      <c r="N166" s="7"/>
      <c r="W166" s="4"/>
      <c r="X166" s="4"/>
      <c r="Z166" s="7"/>
      <c r="AA166" s="4"/>
      <c r="AB166" s="3"/>
      <c r="AC166" s="3"/>
      <c r="AD166" s="3"/>
      <c r="AE166" s="3"/>
      <c r="AF166" s="3"/>
      <c r="AG166" s="3"/>
    </row>
    <row r="167" customFormat="false" ht="15.75" hidden="false" customHeight="false" outlineLevel="0" collapsed="false">
      <c r="A167" s="3"/>
      <c r="B167" s="3"/>
      <c r="C167" s="4"/>
      <c r="D167" s="4"/>
      <c r="E167" s="5"/>
      <c r="F167" s="6"/>
      <c r="N167" s="7"/>
      <c r="W167" s="4"/>
      <c r="X167" s="4"/>
      <c r="Z167" s="7"/>
      <c r="AA167" s="4"/>
      <c r="AB167" s="3"/>
      <c r="AC167" s="3"/>
      <c r="AD167" s="3"/>
      <c r="AE167" s="3"/>
      <c r="AF167" s="3"/>
      <c r="AG167" s="3"/>
    </row>
    <row r="168" customFormat="false" ht="15.75" hidden="false" customHeight="false" outlineLevel="0" collapsed="false">
      <c r="A168" s="3"/>
      <c r="B168" s="3"/>
      <c r="C168" s="4"/>
      <c r="D168" s="4"/>
      <c r="E168" s="5"/>
      <c r="F168" s="6"/>
      <c r="N168" s="7"/>
      <c r="W168" s="4"/>
      <c r="X168" s="4"/>
      <c r="Z168" s="7"/>
      <c r="AA168" s="4"/>
      <c r="AB168" s="3"/>
      <c r="AC168" s="3"/>
      <c r="AD168" s="3"/>
      <c r="AE168" s="3"/>
      <c r="AF168" s="3"/>
      <c r="AG168" s="3"/>
    </row>
    <row r="169" customFormat="false" ht="15.75" hidden="false" customHeight="false" outlineLevel="0" collapsed="false">
      <c r="A169" s="3"/>
      <c r="B169" s="3"/>
      <c r="C169" s="4"/>
      <c r="D169" s="4"/>
      <c r="E169" s="5"/>
      <c r="F169" s="6"/>
      <c r="N169" s="7"/>
      <c r="W169" s="4"/>
      <c r="X169" s="4"/>
      <c r="Z169" s="7"/>
      <c r="AA169" s="4"/>
      <c r="AB169" s="3"/>
      <c r="AC169" s="3"/>
      <c r="AD169" s="3"/>
      <c r="AE169" s="3"/>
      <c r="AF169" s="3"/>
      <c r="AG169" s="3"/>
    </row>
    <row r="170" customFormat="false" ht="15.75" hidden="false" customHeight="false" outlineLevel="0" collapsed="false">
      <c r="A170" s="3"/>
      <c r="B170" s="3"/>
      <c r="C170" s="4"/>
      <c r="D170" s="4"/>
      <c r="E170" s="5"/>
      <c r="F170" s="6"/>
      <c r="N170" s="7"/>
      <c r="W170" s="4"/>
      <c r="X170" s="4"/>
      <c r="Z170" s="7"/>
      <c r="AA170" s="4"/>
      <c r="AB170" s="3"/>
      <c r="AC170" s="3"/>
      <c r="AD170" s="3"/>
      <c r="AE170" s="3"/>
      <c r="AF170" s="3"/>
      <c r="AG170" s="3"/>
    </row>
    <row r="171" customFormat="false" ht="15.75" hidden="false" customHeight="false" outlineLevel="0" collapsed="false">
      <c r="A171" s="3"/>
      <c r="B171" s="3"/>
      <c r="C171" s="4"/>
      <c r="D171" s="4"/>
      <c r="E171" s="5"/>
      <c r="F171" s="6"/>
      <c r="N171" s="7"/>
      <c r="W171" s="4"/>
      <c r="X171" s="4"/>
      <c r="Z171" s="7"/>
      <c r="AA171" s="4"/>
      <c r="AB171" s="3"/>
      <c r="AC171" s="3"/>
      <c r="AD171" s="3"/>
      <c r="AE171" s="3"/>
      <c r="AF171" s="3"/>
      <c r="AG171" s="3"/>
    </row>
    <row r="172" customFormat="false" ht="15.75" hidden="false" customHeight="false" outlineLevel="0" collapsed="false">
      <c r="A172" s="3"/>
      <c r="B172" s="3"/>
      <c r="C172" s="4"/>
      <c r="D172" s="4"/>
      <c r="E172" s="5"/>
      <c r="F172" s="6"/>
      <c r="N172" s="7"/>
      <c r="W172" s="4"/>
      <c r="X172" s="4"/>
      <c r="Z172" s="7"/>
      <c r="AA172" s="4"/>
      <c r="AB172" s="3"/>
      <c r="AC172" s="3"/>
      <c r="AD172" s="3"/>
      <c r="AE172" s="3"/>
      <c r="AF172" s="3"/>
      <c r="AG172" s="3"/>
    </row>
    <row r="173" customFormat="false" ht="15.75" hidden="false" customHeight="false" outlineLevel="0" collapsed="false">
      <c r="A173" s="3"/>
      <c r="B173" s="3"/>
      <c r="C173" s="4"/>
      <c r="D173" s="4"/>
      <c r="E173" s="5"/>
      <c r="F173" s="6"/>
      <c r="N173" s="7"/>
      <c r="W173" s="4"/>
      <c r="X173" s="4"/>
      <c r="Z173" s="7"/>
      <c r="AA173" s="4"/>
      <c r="AB173" s="3"/>
      <c r="AC173" s="3"/>
      <c r="AD173" s="3"/>
      <c r="AE173" s="3"/>
      <c r="AF173" s="3"/>
      <c r="AG173" s="3"/>
    </row>
    <row r="174" customFormat="false" ht="15.75" hidden="false" customHeight="false" outlineLevel="0" collapsed="false">
      <c r="A174" s="3"/>
      <c r="B174" s="3"/>
      <c r="C174" s="4"/>
      <c r="D174" s="4"/>
      <c r="E174" s="5"/>
      <c r="F174" s="6"/>
      <c r="N174" s="7"/>
      <c r="W174" s="4"/>
      <c r="X174" s="4"/>
      <c r="Z174" s="7"/>
      <c r="AA174" s="4"/>
      <c r="AB174" s="3"/>
      <c r="AC174" s="3"/>
      <c r="AD174" s="3"/>
      <c r="AE174" s="3"/>
      <c r="AF174" s="3"/>
      <c r="AG174" s="3"/>
    </row>
    <row r="175" customFormat="false" ht="15.75" hidden="false" customHeight="false" outlineLevel="0" collapsed="false">
      <c r="A175" s="3"/>
      <c r="B175" s="3"/>
      <c r="C175" s="4"/>
      <c r="D175" s="4"/>
      <c r="E175" s="5"/>
      <c r="F175" s="6"/>
      <c r="N175" s="7"/>
      <c r="W175" s="4"/>
      <c r="X175" s="4"/>
      <c r="Z175" s="7"/>
      <c r="AA175" s="4"/>
      <c r="AB175" s="3"/>
      <c r="AC175" s="3"/>
      <c r="AD175" s="3"/>
      <c r="AE175" s="3"/>
      <c r="AF175" s="3"/>
      <c r="AG175" s="3"/>
    </row>
    <row r="176" customFormat="false" ht="15.75" hidden="false" customHeight="false" outlineLevel="0" collapsed="false">
      <c r="A176" s="3"/>
      <c r="B176" s="3"/>
      <c r="C176" s="4"/>
      <c r="D176" s="4"/>
      <c r="E176" s="5"/>
      <c r="F176" s="6"/>
      <c r="N176" s="7"/>
      <c r="W176" s="4"/>
      <c r="X176" s="4"/>
      <c r="Z176" s="7"/>
      <c r="AA176" s="4"/>
      <c r="AB176" s="3"/>
      <c r="AC176" s="3"/>
      <c r="AD176" s="3"/>
      <c r="AE176" s="3"/>
      <c r="AF176" s="3"/>
      <c r="AG176" s="3"/>
    </row>
    <row r="177" customFormat="false" ht="15.75" hidden="false" customHeight="false" outlineLevel="0" collapsed="false">
      <c r="A177" s="3"/>
      <c r="B177" s="3"/>
      <c r="C177" s="4"/>
      <c r="D177" s="4"/>
      <c r="E177" s="5"/>
      <c r="F177" s="6"/>
      <c r="N177" s="7"/>
      <c r="W177" s="4"/>
      <c r="X177" s="4"/>
      <c r="Z177" s="7"/>
      <c r="AA177" s="4"/>
      <c r="AB177" s="3"/>
      <c r="AC177" s="3"/>
      <c r="AD177" s="3"/>
      <c r="AE177" s="3"/>
      <c r="AF177" s="3"/>
      <c r="AG177" s="3"/>
    </row>
    <row r="178" customFormat="false" ht="15.75" hidden="false" customHeight="false" outlineLevel="0" collapsed="false">
      <c r="A178" s="3"/>
      <c r="B178" s="3"/>
      <c r="C178" s="4"/>
      <c r="D178" s="4"/>
      <c r="E178" s="5"/>
      <c r="F178" s="6"/>
      <c r="N178" s="7"/>
      <c r="W178" s="4"/>
      <c r="X178" s="4"/>
      <c r="Z178" s="7"/>
      <c r="AA178" s="4"/>
      <c r="AB178" s="3"/>
      <c r="AC178" s="3"/>
      <c r="AD178" s="3"/>
      <c r="AE178" s="3"/>
      <c r="AF178" s="3"/>
      <c r="AG178" s="3"/>
    </row>
    <row r="179" customFormat="false" ht="15.75" hidden="false" customHeight="false" outlineLevel="0" collapsed="false">
      <c r="A179" s="3"/>
      <c r="B179" s="3"/>
      <c r="C179" s="4"/>
      <c r="D179" s="4"/>
      <c r="E179" s="5"/>
      <c r="F179" s="6"/>
      <c r="N179" s="7"/>
      <c r="W179" s="4"/>
      <c r="X179" s="4"/>
      <c r="Z179" s="7"/>
      <c r="AA179" s="4"/>
      <c r="AB179" s="3"/>
      <c r="AC179" s="3"/>
      <c r="AD179" s="3"/>
      <c r="AE179" s="3"/>
      <c r="AF179" s="3"/>
      <c r="AG179" s="3"/>
    </row>
    <row r="180" customFormat="false" ht="15.75" hidden="false" customHeight="false" outlineLevel="0" collapsed="false">
      <c r="A180" s="3"/>
      <c r="B180" s="3"/>
      <c r="C180" s="4"/>
      <c r="D180" s="4"/>
      <c r="E180" s="5"/>
      <c r="F180" s="6"/>
      <c r="N180" s="7"/>
      <c r="W180" s="4"/>
      <c r="X180" s="4"/>
      <c r="Z180" s="7"/>
      <c r="AA180" s="4"/>
      <c r="AB180" s="3"/>
      <c r="AC180" s="3"/>
      <c r="AD180" s="3"/>
      <c r="AE180" s="3"/>
      <c r="AF180" s="3"/>
      <c r="AG180" s="3"/>
    </row>
    <row r="181" customFormat="false" ht="15.75" hidden="false" customHeight="false" outlineLevel="0" collapsed="false">
      <c r="A181" s="3"/>
      <c r="B181" s="3"/>
      <c r="C181" s="4"/>
      <c r="D181" s="4"/>
      <c r="E181" s="5"/>
      <c r="F181" s="6"/>
      <c r="N181" s="7"/>
      <c r="W181" s="4"/>
      <c r="X181" s="4"/>
      <c r="Z181" s="7"/>
      <c r="AA181" s="4"/>
      <c r="AB181" s="3"/>
      <c r="AC181" s="3"/>
      <c r="AD181" s="3"/>
      <c r="AE181" s="3"/>
      <c r="AF181" s="3"/>
      <c r="AG181" s="3"/>
    </row>
    <row r="182" customFormat="false" ht="15.75" hidden="false" customHeight="false" outlineLevel="0" collapsed="false">
      <c r="A182" s="3"/>
      <c r="B182" s="3"/>
      <c r="C182" s="4"/>
      <c r="D182" s="4"/>
      <c r="E182" s="5"/>
      <c r="F182" s="6"/>
      <c r="N182" s="7"/>
      <c r="W182" s="4"/>
      <c r="X182" s="4"/>
      <c r="Z182" s="7"/>
      <c r="AA182" s="4"/>
      <c r="AB182" s="3"/>
      <c r="AC182" s="3"/>
      <c r="AD182" s="3"/>
      <c r="AE182" s="3"/>
      <c r="AF182" s="3"/>
      <c r="AG182" s="3"/>
    </row>
    <row r="183" customFormat="false" ht="15.75" hidden="false" customHeight="false" outlineLevel="0" collapsed="false">
      <c r="A183" s="3"/>
      <c r="B183" s="3"/>
      <c r="C183" s="4"/>
      <c r="D183" s="4"/>
      <c r="E183" s="5"/>
      <c r="F183" s="6"/>
      <c r="N183" s="7"/>
      <c r="W183" s="4"/>
      <c r="X183" s="4"/>
      <c r="Z183" s="7"/>
      <c r="AA183" s="4"/>
      <c r="AB183" s="3"/>
      <c r="AC183" s="3"/>
      <c r="AD183" s="3"/>
      <c r="AE183" s="3"/>
      <c r="AF183" s="3"/>
      <c r="AG183" s="3"/>
    </row>
    <row r="184" customFormat="false" ht="15.75" hidden="false" customHeight="false" outlineLevel="0" collapsed="false">
      <c r="A184" s="3"/>
      <c r="B184" s="3"/>
      <c r="C184" s="4"/>
      <c r="D184" s="4"/>
      <c r="E184" s="5"/>
      <c r="F184" s="6"/>
      <c r="N184" s="7"/>
      <c r="W184" s="4"/>
      <c r="X184" s="4"/>
      <c r="Z184" s="7"/>
      <c r="AA184" s="4"/>
      <c r="AB184" s="3"/>
      <c r="AC184" s="3"/>
      <c r="AD184" s="3"/>
      <c r="AE184" s="3"/>
      <c r="AF184" s="3"/>
      <c r="AG184" s="3"/>
    </row>
    <row r="185" customFormat="false" ht="15.75" hidden="false" customHeight="false" outlineLevel="0" collapsed="false">
      <c r="A185" s="3"/>
      <c r="B185" s="3"/>
      <c r="C185" s="4"/>
      <c r="D185" s="4"/>
      <c r="E185" s="5"/>
      <c r="F185" s="6"/>
      <c r="N185" s="7"/>
      <c r="W185" s="4"/>
      <c r="X185" s="4"/>
      <c r="Z185" s="7"/>
      <c r="AA185" s="4"/>
      <c r="AB185" s="3"/>
      <c r="AC185" s="3"/>
      <c r="AD185" s="3"/>
      <c r="AE185" s="3"/>
      <c r="AF185" s="3"/>
      <c r="AG185" s="3"/>
    </row>
    <row r="186" customFormat="false" ht="15.75" hidden="false" customHeight="false" outlineLevel="0" collapsed="false">
      <c r="A186" s="3"/>
      <c r="B186" s="3"/>
      <c r="C186" s="4"/>
      <c r="D186" s="4"/>
      <c r="E186" s="5"/>
      <c r="F186" s="6"/>
      <c r="N186" s="7"/>
      <c r="W186" s="4"/>
      <c r="X186" s="4"/>
      <c r="Z186" s="7"/>
      <c r="AA186" s="4"/>
      <c r="AB186" s="3"/>
      <c r="AC186" s="3"/>
      <c r="AD186" s="3"/>
      <c r="AE186" s="3"/>
      <c r="AF186" s="3"/>
      <c r="AG186" s="3"/>
    </row>
    <row r="187" customFormat="false" ht="15.75" hidden="false" customHeight="false" outlineLevel="0" collapsed="false">
      <c r="A187" s="3"/>
      <c r="B187" s="3"/>
      <c r="C187" s="4"/>
      <c r="D187" s="4"/>
      <c r="E187" s="5"/>
      <c r="F187" s="6"/>
      <c r="N187" s="7"/>
      <c r="W187" s="4"/>
      <c r="X187" s="4"/>
      <c r="Z187" s="7"/>
      <c r="AA187" s="4"/>
      <c r="AB187" s="3"/>
      <c r="AC187" s="3"/>
      <c r="AD187" s="3"/>
      <c r="AE187" s="3"/>
      <c r="AF187" s="3"/>
      <c r="AG187" s="3"/>
    </row>
    <row r="188" customFormat="false" ht="15.75" hidden="false" customHeight="false" outlineLevel="0" collapsed="false">
      <c r="A188" s="3"/>
      <c r="B188" s="3"/>
      <c r="C188" s="4"/>
      <c r="D188" s="4"/>
      <c r="E188" s="5"/>
      <c r="F188" s="6"/>
      <c r="N188" s="7"/>
      <c r="W188" s="4"/>
      <c r="X188" s="4"/>
      <c r="Z188" s="7"/>
      <c r="AA188" s="4"/>
      <c r="AB188" s="3"/>
      <c r="AC188" s="3"/>
      <c r="AD188" s="3"/>
      <c r="AE188" s="3"/>
      <c r="AF188" s="3"/>
      <c r="AG188" s="3"/>
    </row>
    <row r="189" customFormat="false" ht="15.75" hidden="false" customHeight="false" outlineLevel="0" collapsed="false">
      <c r="A189" s="3"/>
      <c r="B189" s="3"/>
      <c r="C189" s="4"/>
      <c r="D189" s="4"/>
      <c r="E189" s="5"/>
      <c r="F189" s="6"/>
      <c r="N189" s="7"/>
      <c r="W189" s="4"/>
      <c r="X189" s="4"/>
      <c r="Z189" s="7"/>
      <c r="AA189" s="4"/>
      <c r="AB189" s="3"/>
      <c r="AC189" s="3"/>
      <c r="AD189" s="3"/>
      <c r="AE189" s="3"/>
      <c r="AF189" s="3"/>
      <c r="AG189" s="3"/>
    </row>
    <row r="190" customFormat="false" ht="15.75" hidden="false" customHeight="false" outlineLevel="0" collapsed="false">
      <c r="A190" s="3"/>
      <c r="B190" s="3"/>
      <c r="C190" s="4"/>
      <c r="D190" s="4"/>
      <c r="E190" s="5"/>
      <c r="F190" s="6"/>
      <c r="N190" s="7"/>
      <c r="W190" s="4"/>
      <c r="X190" s="4"/>
      <c r="Z190" s="7"/>
      <c r="AA190" s="4"/>
      <c r="AB190" s="3"/>
      <c r="AC190" s="3"/>
      <c r="AD190" s="3"/>
      <c r="AE190" s="3"/>
      <c r="AF190" s="3"/>
      <c r="AG190" s="3"/>
    </row>
    <row r="191" customFormat="false" ht="15.75" hidden="false" customHeight="false" outlineLevel="0" collapsed="false">
      <c r="A191" s="3"/>
      <c r="B191" s="3"/>
      <c r="C191" s="4"/>
      <c r="D191" s="4"/>
      <c r="E191" s="5"/>
      <c r="F191" s="6"/>
      <c r="N191" s="7"/>
      <c r="W191" s="4"/>
      <c r="X191" s="4"/>
      <c r="Z191" s="7"/>
      <c r="AA191" s="4"/>
      <c r="AB191" s="3"/>
      <c r="AC191" s="3"/>
      <c r="AD191" s="3"/>
      <c r="AE191" s="3"/>
      <c r="AF191" s="3"/>
      <c r="AG191" s="3"/>
    </row>
    <row r="192" customFormat="false" ht="15.75" hidden="false" customHeight="false" outlineLevel="0" collapsed="false">
      <c r="A192" s="3"/>
      <c r="B192" s="3"/>
      <c r="C192" s="4"/>
      <c r="D192" s="4"/>
      <c r="E192" s="5"/>
      <c r="F192" s="6"/>
      <c r="N192" s="7"/>
      <c r="W192" s="4"/>
      <c r="X192" s="4"/>
      <c r="Z192" s="7"/>
      <c r="AA192" s="4"/>
      <c r="AB192" s="3"/>
      <c r="AC192" s="3"/>
      <c r="AD192" s="3"/>
      <c r="AE192" s="3"/>
      <c r="AF192" s="3"/>
      <c r="AG192" s="3"/>
    </row>
    <row r="193" customFormat="false" ht="15.75" hidden="false" customHeight="false" outlineLevel="0" collapsed="false">
      <c r="A193" s="3"/>
      <c r="B193" s="3"/>
      <c r="C193" s="4"/>
      <c r="D193" s="4"/>
      <c r="E193" s="5"/>
      <c r="F193" s="6"/>
      <c r="N193" s="7"/>
      <c r="W193" s="4"/>
      <c r="X193" s="4"/>
      <c r="Z193" s="7"/>
      <c r="AA193" s="4"/>
      <c r="AB193" s="3"/>
      <c r="AC193" s="3"/>
      <c r="AD193" s="3"/>
      <c r="AE193" s="3"/>
      <c r="AF193" s="3"/>
      <c r="AG193" s="3"/>
    </row>
    <row r="194" customFormat="false" ht="15.75" hidden="false" customHeight="false" outlineLevel="0" collapsed="false">
      <c r="A194" s="3"/>
      <c r="B194" s="3"/>
      <c r="C194" s="4"/>
      <c r="D194" s="4"/>
      <c r="E194" s="5"/>
      <c r="F194" s="6"/>
      <c r="N194" s="7"/>
      <c r="W194" s="4"/>
      <c r="X194" s="4"/>
      <c r="Z194" s="7"/>
      <c r="AA194" s="4"/>
      <c r="AB194" s="3"/>
      <c r="AC194" s="3"/>
      <c r="AD194" s="3"/>
      <c r="AE194" s="3"/>
      <c r="AF194" s="3"/>
      <c r="AG194" s="3"/>
    </row>
    <row r="195" customFormat="false" ht="15.75" hidden="false" customHeight="false" outlineLevel="0" collapsed="false">
      <c r="A195" s="3"/>
      <c r="B195" s="3"/>
      <c r="C195" s="4"/>
      <c r="D195" s="4"/>
      <c r="E195" s="5"/>
      <c r="F195" s="6"/>
      <c r="N195" s="7"/>
      <c r="W195" s="4"/>
      <c r="X195" s="4"/>
      <c r="Z195" s="7"/>
      <c r="AA195" s="4"/>
      <c r="AB195" s="3"/>
      <c r="AC195" s="3"/>
      <c r="AD195" s="3"/>
      <c r="AE195" s="3"/>
      <c r="AF195" s="3"/>
      <c r="AG195" s="3"/>
    </row>
    <row r="196" customFormat="false" ht="15.75" hidden="false" customHeight="false" outlineLevel="0" collapsed="false">
      <c r="A196" s="3"/>
      <c r="B196" s="3"/>
      <c r="C196" s="4"/>
      <c r="D196" s="4"/>
      <c r="E196" s="5"/>
      <c r="F196" s="6"/>
      <c r="N196" s="7"/>
      <c r="W196" s="4"/>
      <c r="X196" s="4"/>
      <c r="Z196" s="7"/>
      <c r="AA196" s="4"/>
      <c r="AB196" s="3"/>
      <c r="AC196" s="3"/>
      <c r="AD196" s="3"/>
      <c r="AE196" s="3"/>
      <c r="AF196" s="3"/>
      <c r="AG196" s="3"/>
    </row>
    <row r="197" customFormat="false" ht="15.75" hidden="false" customHeight="false" outlineLevel="0" collapsed="false">
      <c r="A197" s="3"/>
      <c r="B197" s="3"/>
      <c r="C197" s="4"/>
      <c r="D197" s="4"/>
      <c r="E197" s="5"/>
      <c r="F197" s="6"/>
      <c r="N197" s="7"/>
      <c r="W197" s="4"/>
      <c r="X197" s="4"/>
      <c r="Z197" s="7"/>
      <c r="AA197" s="4"/>
      <c r="AB197" s="3"/>
      <c r="AC197" s="3"/>
      <c r="AD197" s="3"/>
      <c r="AE197" s="3"/>
      <c r="AF197" s="3"/>
      <c r="AG197" s="3"/>
    </row>
    <row r="198" customFormat="false" ht="15.75" hidden="false" customHeight="false" outlineLevel="0" collapsed="false">
      <c r="A198" s="3"/>
      <c r="B198" s="3"/>
      <c r="C198" s="4"/>
      <c r="D198" s="4"/>
      <c r="E198" s="5"/>
      <c r="F198" s="6"/>
      <c r="N198" s="7"/>
      <c r="W198" s="4"/>
      <c r="X198" s="4"/>
      <c r="Z198" s="7"/>
      <c r="AA198" s="4"/>
      <c r="AB198" s="3"/>
      <c r="AC198" s="3"/>
      <c r="AD198" s="3"/>
      <c r="AE198" s="3"/>
      <c r="AF198" s="3"/>
      <c r="AG198" s="3"/>
    </row>
    <row r="199" customFormat="false" ht="15.75" hidden="false" customHeight="false" outlineLevel="0" collapsed="false">
      <c r="A199" s="3"/>
      <c r="B199" s="3"/>
      <c r="C199" s="4"/>
      <c r="D199" s="4"/>
      <c r="E199" s="5"/>
      <c r="F199" s="6"/>
      <c r="N199" s="7"/>
      <c r="W199" s="4"/>
      <c r="X199" s="4"/>
      <c r="Z199" s="7"/>
      <c r="AA199" s="4"/>
      <c r="AB199" s="3"/>
      <c r="AC199" s="3"/>
      <c r="AD199" s="3"/>
      <c r="AE199" s="3"/>
      <c r="AF199" s="3"/>
      <c r="AG199" s="3"/>
    </row>
    <row r="200" customFormat="false" ht="15.75" hidden="false" customHeight="false" outlineLevel="0" collapsed="false">
      <c r="A200" s="3"/>
      <c r="B200" s="3"/>
      <c r="C200" s="4"/>
      <c r="D200" s="4"/>
      <c r="E200" s="5"/>
      <c r="F200" s="6"/>
      <c r="N200" s="7"/>
      <c r="W200" s="4"/>
      <c r="X200" s="4"/>
      <c r="Z200" s="7"/>
      <c r="AA200" s="4"/>
      <c r="AB200" s="3"/>
      <c r="AC200" s="3"/>
      <c r="AD200" s="3"/>
      <c r="AE200" s="3"/>
      <c r="AF200" s="3"/>
      <c r="AG200" s="3"/>
    </row>
    <row r="201" customFormat="false" ht="15.75" hidden="false" customHeight="false" outlineLevel="0" collapsed="false">
      <c r="A201" s="3"/>
      <c r="B201" s="3"/>
      <c r="C201" s="4"/>
      <c r="D201" s="4"/>
      <c r="E201" s="5"/>
      <c r="F201" s="6"/>
      <c r="N201" s="7"/>
      <c r="W201" s="4"/>
      <c r="X201" s="4"/>
      <c r="Z201" s="7"/>
      <c r="AA201" s="4"/>
      <c r="AB201" s="3"/>
      <c r="AC201" s="3"/>
      <c r="AD201" s="3"/>
      <c r="AE201" s="3"/>
      <c r="AF201" s="3"/>
      <c r="AG201" s="3"/>
    </row>
    <row r="202" customFormat="false" ht="15.75" hidden="false" customHeight="false" outlineLevel="0" collapsed="false">
      <c r="A202" s="3"/>
      <c r="B202" s="3"/>
      <c r="C202" s="4"/>
      <c r="D202" s="4"/>
      <c r="E202" s="5"/>
      <c r="F202" s="6"/>
      <c r="N202" s="7"/>
      <c r="W202" s="4"/>
      <c r="X202" s="4"/>
      <c r="Z202" s="7"/>
      <c r="AA202" s="4"/>
      <c r="AB202" s="3"/>
      <c r="AC202" s="3"/>
      <c r="AD202" s="3"/>
      <c r="AE202" s="3"/>
      <c r="AF202" s="3"/>
      <c r="AG202" s="3"/>
    </row>
    <row r="203" customFormat="false" ht="15.75" hidden="false" customHeight="false" outlineLevel="0" collapsed="false">
      <c r="A203" s="3"/>
      <c r="B203" s="3"/>
      <c r="C203" s="4"/>
      <c r="D203" s="4"/>
      <c r="E203" s="5"/>
      <c r="F203" s="6"/>
      <c r="N203" s="7"/>
      <c r="W203" s="4"/>
      <c r="X203" s="4"/>
      <c r="Z203" s="7"/>
      <c r="AA203" s="4"/>
      <c r="AB203" s="3"/>
      <c r="AC203" s="3"/>
      <c r="AD203" s="3"/>
      <c r="AE203" s="3"/>
      <c r="AF203" s="3"/>
      <c r="AG203" s="3"/>
    </row>
    <row r="204" customFormat="false" ht="15.75" hidden="false" customHeight="false" outlineLevel="0" collapsed="false">
      <c r="A204" s="3"/>
      <c r="B204" s="3"/>
      <c r="C204" s="4"/>
      <c r="D204" s="4"/>
      <c r="E204" s="5"/>
      <c r="F204" s="6"/>
      <c r="N204" s="7"/>
      <c r="W204" s="4"/>
      <c r="X204" s="4"/>
      <c r="Z204" s="7"/>
      <c r="AA204" s="4"/>
      <c r="AB204" s="3"/>
      <c r="AC204" s="3"/>
      <c r="AD204" s="3"/>
      <c r="AE204" s="3"/>
      <c r="AF204" s="3"/>
      <c r="AG204" s="3"/>
    </row>
    <row r="205" customFormat="false" ht="15.75" hidden="false" customHeight="false" outlineLevel="0" collapsed="false">
      <c r="A205" s="3"/>
      <c r="B205" s="3"/>
      <c r="C205" s="4"/>
      <c r="D205" s="4"/>
      <c r="E205" s="5"/>
      <c r="F205" s="6"/>
      <c r="N205" s="7"/>
      <c r="W205" s="4"/>
      <c r="X205" s="4"/>
      <c r="Z205" s="7"/>
      <c r="AA205" s="4"/>
      <c r="AB205" s="3"/>
      <c r="AC205" s="3"/>
      <c r="AD205" s="3"/>
      <c r="AE205" s="3"/>
      <c r="AF205" s="3"/>
      <c r="AG205" s="3"/>
    </row>
    <row r="206" customFormat="false" ht="15.75" hidden="false" customHeight="false" outlineLevel="0" collapsed="false">
      <c r="A206" s="3"/>
      <c r="B206" s="3"/>
      <c r="C206" s="4"/>
      <c r="D206" s="4"/>
      <c r="E206" s="5"/>
      <c r="F206" s="6"/>
      <c r="N206" s="7"/>
      <c r="W206" s="4"/>
      <c r="X206" s="4"/>
      <c r="Z206" s="7"/>
      <c r="AA206" s="4"/>
      <c r="AB206" s="3"/>
      <c r="AC206" s="3"/>
      <c r="AD206" s="3"/>
      <c r="AE206" s="3"/>
      <c r="AF206" s="3"/>
      <c r="AG206" s="3"/>
    </row>
    <row r="207" customFormat="false" ht="15.75" hidden="false" customHeight="false" outlineLevel="0" collapsed="false">
      <c r="A207" s="3"/>
      <c r="B207" s="3"/>
      <c r="C207" s="4"/>
      <c r="D207" s="4"/>
      <c r="E207" s="5"/>
      <c r="F207" s="6"/>
      <c r="N207" s="7"/>
      <c r="W207" s="4"/>
      <c r="X207" s="4"/>
      <c r="Z207" s="7"/>
      <c r="AA207" s="4"/>
      <c r="AB207" s="3"/>
      <c r="AC207" s="3"/>
      <c r="AD207" s="3"/>
      <c r="AE207" s="3"/>
      <c r="AF207" s="3"/>
      <c r="AG207" s="3"/>
    </row>
    <row r="208" customFormat="false" ht="15.75" hidden="false" customHeight="false" outlineLevel="0" collapsed="false">
      <c r="A208" s="3"/>
      <c r="B208" s="3"/>
      <c r="C208" s="4"/>
      <c r="D208" s="4"/>
      <c r="E208" s="5"/>
      <c r="F208" s="6"/>
      <c r="N208" s="7"/>
      <c r="W208" s="4"/>
      <c r="X208" s="4"/>
      <c r="Z208" s="7"/>
      <c r="AA208" s="4"/>
      <c r="AB208" s="3"/>
      <c r="AC208" s="3"/>
      <c r="AD208" s="3"/>
      <c r="AE208" s="3"/>
      <c r="AF208" s="3"/>
      <c r="AG208" s="3"/>
    </row>
    <row r="209" customFormat="false" ht="15.75" hidden="false" customHeight="false" outlineLevel="0" collapsed="false">
      <c r="A209" s="3"/>
      <c r="B209" s="3"/>
      <c r="C209" s="4"/>
      <c r="D209" s="4"/>
      <c r="E209" s="5"/>
      <c r="F209" s="6"/>
      <c r="N209" s="7"/>
      <c r="W209" s="4"/>
      <c r="X209" s="4"/>
      <c r="Z209" s="7"/>
      <c r="AA209" s="4"/>
      <c r="AB209" s="3"/>
      <c r="AC209" s="3"/>
      <c r="AD209" s="3"/>
      <c r="AE209" s="3"/>
      <c r="AF209" s="3"/>
      <c r="AG209" s="3"/>
    </row>
    <row r="210" customFormat="false" ht="15.75" hidden="false" customHeight="false" outlineLevel="0" collapsed="false">
      <c r="A210" s="3"/>
      <c r="B210" s="3"/>
      <c r="C210" s="4"/>
      <c r="D210" s="4"/>
      <c r="E210" s="5"/>
      <c r="F210" s="6"/>
      <c r="N210" s="7"/>
      <c r="W210" s="4"/>
      <c r="X210" s="4"/>
      <c r="Z210" s="7"/>
      <c r="AA210" s="4"/>
      <c r="AB210" s="3"/>
      <c r="AC210" s="3"/>
      <c r="AD210" s="3"/>
      <c r="AE210" s="3"/>
      <c r="AF210" s="3"/>
      <c r="AG210" s="3"/>
    </row>
    <row r="211" customFormat="false" ht="15.75" hidden="false" customHeight="false" outlineLevel="0" collapsed="false">
      <c r="A211" s="3"/>
      <c r="B211" s="3"/>
      <c r="C211" s="4"/>
      <c r="D211" s="4"/>
      <c r="E211" s="5"/>
      <c r="F211" s="6"/>
      <c r="N211" s="7"/>
      <c r="W211" s="4"/>
      <c r="X211" s="4"/>
      <c r="Z211" s="7"/>
      <c r="AA211" s="4"/>
      <c r="AB211" s="3"/>
      <c r="AC211" s="3"/>
      <c r="AD211" s="3"/>
      <c r="AE211" s="3"/>
      <c r="AF211" s="3"/>
      <c r="AG211" s="3"/>
    </row>
    <row r="212" customFormat="false" ht="15.75" hidden="false" customHeight="false" outlineLevel="0" collapsed="false">
      <c r="A212" s="3"/>
      <c r="B212" s="3"/>
      <c r="C212" s="4"/>
      <c r="D212" s="4"/>
      <c r="E212" s="5"/>
      <c r="F212" s="6"/>
      <c r="N212" s="7"/>
      <c r="W212" s="4"/>
      <c r="X212" s="4"/>
      <c r="Z212" s="7"/>
      <c r="AA212" s="4"/>
      <c r="AB212" s="3"/>
      <c r="AC212" s="3"/>
      <c r="AD212" s="3"/>
      <c r="AE212" s="3"/>
      <c r="AF212" s="3"/>
      <c r="AG212" s="3"/>
    </row>
    <row r="213" customFormat="false" ht="15.75" hidden="false" customHeight="false" outlineLevel="0" collapsed="false">
      <c r="A213" s="3"/>
      <c r="B213" s="3"/>
      <c r="C213" s="4"/>
      <c r="D213" s="4"/>
      <c r="E213" s="5"/>
      <c r="F213" s="6"/>
      <c r="N213" s="7"/>
      <c r="W213" s="4"/>
      <c r="X213" s="4"/>
      <c r="Z213" s="7"/>
      <c r="AA213" s="4"/>
      <c r="AB213" s="3"/>
      <c r="AC213" s="3"/>
      <c r="AD213" s="3"/>
      <c r="AE213" s="3"/>
      <c r="AF213" s="3"/>
      <c r="AG213" s="3"/>
    </row>
    <row r="214" customFormat="false" ht="15.75" hidden="false" customHeight="false" outlineLevel="0" collapsed="false">
      <c r="A214" s="3"/>
      <c r="B214" s="3"/>
      <c r="C214" s="4"/>
      <c r="D214" s="4"/>
      <c r="E214" s="5"/>
      <c r="F214" s="6"/>
      <c r="N214" s="7"/>
      <c r="W214" s="4"/>
      <c r="X214" s="4"/>
      <c r="Z214" s="7"/>
      <c r="AA214" s="4"/>
      <c r="AB214" s="3"/>
      <c r="AC214" s="3"/>
      <c r="AD214" s="3"/>
      <c r="AE214" s="3"/>
      <c r="AF214" s="3"/>
      <c r="AG214" s="3"/>
    </row>
    <row r="215" customFormat="false" ht="15.75" hidden="false" customHeight="false" outlineLevel="0" collapsed="false">
      <c r="A215" s="3"/>
      <c r="B215" s="3"/>
      <c r="C215" s="4"/>
      <c r="D215" s="4"/>
      <c r="E215" s="5"/>
      <c r="F215" s="6"/>
      <c r="N215" s="7"/>
      <c r="W215" s="4"/>
      <c r="X215" s="4"/>
      <c r="Z215" s="7"/>
      <c r="AA215" s="4"/>
      <c r="AB215" s="3"/>
      <c r="AC215" s="3"/>
      <c r="AD215" s="3"/>
      <c r="AE215" s="3"/>
      <c r="AF215" s="3"/>
      <c r="AG215" s="3"/>
    </row>
    <row r="216" customFormat="false" ht="15.75" hidden="false" customHeight="false" outlineLevel="0" collapsed="false">
      <c r="A216" s="3"/>
      <c r="B216" s="3"/>
      <c r="C216" s="4"/>
      <c r="D216" s="4"/>
      <c r="E216" s="5"/>
      <c r="F216" s="6"/>
      <c r="N216" s="7"/>
      <c r="W216" s="4"/>
      <c r="X216" s="4"/>
      <c r="Z216" s="7"/>
      <c r="AA216" s="4"/>
      <c r="AB216" s="3"/>
      <c r="AC216" s="3"/>
      <c r="AD216" s="3"/>
      <c r="AE216" s="3"/>
      <c r="AF216" s="3"/>
      <c r="AG216" s="3"/>
    </row>
    <row r="217" customFormat="false" ht="15.75" hidden="false" customHeight="false" outlineLevel="0" collapsed="false">
      <c r="A217" s="3"/>
      <c r="B217" s="3"/>
      <c r="C217" s="4"/>
      <c r="D217" s="4"/>
      <c r="E217" s="5"/>
      <c r="F217" s="6"/>
      <c r="N217" s="7"/>
      <c r="W217" s="4"/>
      <c r="X217" s="4"/>
      <c r="Z217" s="7"/>
      <c r="AA217" s="4"/>
      <c r="AB217" s="3"/>
      <c r="AC217" s="3"/>
      <c r="AD217" s="3"/>
      <c r="AE217" s="3"/>
      <c r="AF217" s="3"/>
      <c r="AG217" s="3"/>
    </row>
    <row r="218" customFormat="false" ht="15.75" hidden="false" customHeight="false" outlineLevel="0" collapsed="false">
      <c r="A218" s="3"/>
      <c r="B218" s="3"/>
      <c r="C218" s="4"/>
      <c r="D218" s="4"/>
      <c r="E218" s="5"/>
      <c r="F218" s="6"/>
      <c r="N218" s="7"/>
      <c r="W218" s="4"/>
      <c r="X218" s="4"/>
      <c r="Z218" s="7"/>
      <c r="AA218" s="4"/>
      <c r="AB218" s="3"/>
      <c r="AC218" s="3"/>
      <c r="AD218" s="3"/>
      <c r="AE218" s="3"/>
      <c r="AF218" s="3"/>
      <c r="AG218" s="3"/>
    </row>
    <row r="219" customFormat="false" ht="15.75" hidden="false" customHeight="false" outlineLevel="0" collapsed="false">
      <c r="A219" s="3"/>
      <c r="B219" s="3"/>
      <c r="C219" s="4"/>
      <c r="D219" s="4"/>
      <c r="E219" s="5"/>
      <c r="F219" s="6"/>
      <c r="N219" s="7"/>
      <c r="W219" s="4"/>
      <c r="X219" s="4"/>
      <c r="Z219" s="7"/>
      <c r="AA219" s="4"/>
      <c r="AB219" s="3"/>
      <c r="AC219" s="3"/>
      <c r="AD219" s="3"/>
      <c r="AE219" s="3"/>
      <c r="AF219" s="3"/>
      <c r="AG219" s="3"/>
    </row>
    <row r="220" customFormat="false" ht="15.75" hidden="false" customHeight="false" outlineLevel="0" collapsed="false">
      <c r="A220" s="3"/>
      <c r="B220" s="3"/>
      <c r="C220" s="4"/>
      <c r="D220" s="4"/>
      <c r="E220" s="5"/>
      <c r="F220" s="6"/>
      <c r="N220" s="7"/>
      <c r="W220" s="4"/>
      <c r="X220" s="4"/>
      <c r="Z220" s="7"/>
      <c r="AA220" s="4"/>
      <c r="AB220" s="3"/>
      <c r="AC220" s="3"/>
      <c r="AD220" s="3"/>
      <c r="AE220" s="3"/>
      <c r="AF220" s="3"/>
      <c r="AG220" s="3"/>
    </row>
    <row r="221" customFormat="false" ht="15.75" hidden="false" customHeight="false" outlineLevel="0" collapsed="false">
      <c r="A221" s="3"/>
      <c r="B221" s="3"/>
      <c r="C221" s="4"/>
      <c r="D221" s="4"/>
      <c r="E221" s="5"/>
      <c r="F221" s="6"/>
      <c r="N221" s="7"/>
      <c r="W221" s="4"/>
      <c r="X221" s="4"/>
      <c r="Z221" s="7"/>
      <c r="AA221" s="4"/>
      <c r="AB221" s="3"/>
      <c r="AC221" s="3"/>
      <c r="AD221" s="3"/>
      <c r="AE221" s="3"/>
      <c r="AF221" s="3"/>
      <c r="AG221" s="3"/>
    </row>
    <row r="222" customFormat="false" ht="15.75" hidden="false" customHeight="false" outlineLevel="0" collapsed="false">
      <c r="A222" s="3"/>
      <c r="B222" s="3"/>
      <c r="C222" s="4"/>
      <c r="D222" s="4"/>
      <c r="E222" s="5"/>
      <c r="F222" s="6"/>
      <c r="N222" s="7"/>
      <c r="W222" s="4"/>
      <c r="X222" s="4"/>
      <c r="Z222" s="7"/>
      <c r="AA222" s="4"/>
      <c r="AB222" s="3"/>
      <c r="AC222" s="3"/>
      <c r="AD222" s="3"/>
      <c r="AE222" s="3"/>
      <c r="AF222" s="3"/>
      <c r="AG222" s="3"/>
    </row>
    <row r="223" customFormat="false" ht="15.75" hidden="false" customHeight="false" outlineLevel="0" collapsed="false">
      <c r="A223" s="3"/>
      <c r="B223" s="3"/>
      <c r="C223" s="4"/>
      <c r="D223" s="4"/>
      <c r="E223" s="5"/>
      <c r="F223" s="6"/>
      <c r="N223" s="7"/>
      <c r="W223" s="4"/>
      <c r="X223" s="4"/>
      <c r="Z223" s="7"/>
      <c r="AA223" s="4"/>
      <c r="AB223" s="3"/>
      <c r="AC223" s="3"/>
      <c r="AD223" s="3"/>
      <c r="AE223" s="3"/>
      <c r="AF223" s="3"/>
      <c r="AG223" s="3"/>
    </row>
    <row r="224" customFormat="false" ht="15.75" hidden="false" customHeight="false" outlineLevel="0" collapsed="false">
      <c r="A224" s="3"/>
      <c r="B224" s="3"/>
      <c r="C224" s="4"/>
      <c r="D224" s="4"/>
      <c r="E224" s="5"/>
      <c r="F224" s="6"/>
      <c r="N224" s="7"/>
      <c r="W224" s="4"/>
      <c r="X224" s="4"/>
      <c r="Z224" s="7"/>
      <c r="AA224" s="4"/>
      <c r="AB224" s="3"/>
      <c r="AC224" s="3"/>
      <c r="AD224" s="3"/>
      <c r="AE224" s="3"/>
      <c r="AF224" s="3"/>
      <c r="AG224" s="3"/>
    </row>
    <row r="225" customFormat="false" ht="15.75" hidden="false" customHeight="false" outlineLevel="0" collapsed="false">
      <c r="A225" s="3"/>
      <c r="B225" s="3"/>
      <c r="C225" s="4"/>
      <c r="D225" s="4"/>
      <c r="E225" s="5"/>
      <c r="F225" s="6"/>
      <c r="N225" s="7"/>
      <c r="W225" s="4"/>
      <c r="X225" s="4"/>
      <c r="Z225" s="7"/>
      <c r="AA225" s="4"/>
      <c r="AB225" s="3"/>
      <c r="AC225" s="3"/>
      <c r="AD225" s="3"/>
      <c r="AE225" s="3"/>
      <c r="AF225" s="3"/>
      <c r="AG225" s="3"/>
    </row>
    <row r="226" customFormat="false" ht="15.75" hidden="false" customHeight="false" outlineLevel="0" collapsed="false">
      <c r="A226" s="3"/>
      <c r="B226" s="3"/>
      <c r="C226" s="4"/>
      <c r="D226" s="4"/>
      <c r="E226" s="5"/>
      <c r="F226" s="6"/>
      <c r="N226" s="7"/>
      <c r="W226" s="4"/>
      <c r="X226" s="4"/>
      <c r="Z226" s="7"/>
      <c r="AA226" s="4"/>
      <c r="AB226" s="3"/>
      <c r="AC226" s="3"/>
      <c r="AD226" s="3"/>
      <c r="AE226" s="3"/>
      <c r="AF226" s="3"/>
      <c r="AG226" s="3"/>
    </row>
    <row r="227" customFormat="false" ht="15.75" hidden="false" customHeight="false" outlineLevel="0" collapsed="false">
      <c r="A227" s="3"/>
      <c r="B227" s="3"/>
      <c r="C227" s="4"/>
      <c r="D227" s="4"/>
      <c r="E227" s="5"/>
      <c r="F227" s="6"/>
      <c r="N227" s="7"/>
      <c r="W227" s="4"/>
      <c r="X227" s="4"/>
      <c r="Z227" s="7"/>
      <c r="AA227" s="4"/>
      <c r="AB227" s="3"/>
      <c r="AC227" s="3"/>
      <c r="AD227" s="3"/>
      <c r="AE227" s="3"/>
      <c r="AF227" s="3"/>
      <c r="AG227" s="3"/>
    </row>
    <row r="228" customFormat="false" ht="15.75" hidden="false" customHeight="false" outlineLevel="0" collapsed="false">
      <c r="A228" s="3"/>
      <c r="B228" s="3"/>
      <c r="C228" s="4"/>
      <c r="D228" s="4"/>
      <c r="E228" s="5"/>
      <c r="F228" s="6"/>
      <c r="N228" s="7"/>
      <c r="W228" s="4"/>
      <c r="X228" s="4"/>
      <c r="Z228" s="7"/>
      <c r="AA228" s="4"/>
      <c r="AB228" s="3"/>
      <c r="AC228" s="3"/>
      <c r="AD228" s="3"/>
      <c r="AE228" s="3"/>
      <c r="AF228" s="3"/>
      <c r="AG228" s="3"/>
    </row>
    <row r="229" customFormat="false" ht="15.75" hidden="false" customHeight="false" outlineLevel="0" collapsed="false">
      <c r="A229" s="3"/>
      <c r="B229" s="3"/>
      <c r="C229" s="4"/>
      <c r="D229" s="4"/>
      <c r="E229" s="5"/>
      <c r="F229" s="6"/>
      <c r="N229" s="7"/>
      <c r="W229" s="4"/>
      <c r="X229" s="4"/>
      <c r="Z229" s="7"/>
      <c r="AA229" s="4"/>
      <c r="AB229" s="3"/>
      <c r="AC229" s="3"/>
      <c r="AD229" s="3"/>
      <c r="AE229" s="3"/>
      <c r="AF229" s="3"/>
      <c r="AG229" s="3"/>
    </row>
    <row r="230" customFormat="false" ht="15.75" hidden="false" customHeight="false" outlineLevel="0" collapsed="false">
      <c r="A230" s="3"/>
      <c r="B230" s="3"/>
      <c r="C230" s="4"/>
      <c r="D230" s="4"/>
      <c r="E230" s="5"/>
      <c r="F230" s="6"/>
      <c r="N230" s="7"/>
      <c r="W230" s="4"/>
      <c r="X230" s="4"/>
      <c r="Z230" s="7"/>
      <c r="AA230" s="4"/>
      <c r="AB230" s="3"/>
      <c r="AC230" s="3"/>
      <c r="AD230" s="3"/>
      <c r="AE230" s="3"/>
      <c r="AF230" s="3"/>
      <c r="AG230" s="3"/>
    </row>
    <row r="231" customFormat="false" ht="15.75" hidden="false" customHeight="false" outlineLevel="0" collapsed="false">
      <c r="A231" s="3"/>
      <c r="B231" s="3"/>
      <c r="C231" s="4"/>
      <c r="D231" s="4"/>
      <c r="E231" s="5"/>
      <c r="F231" s="6"/>
      <c r="N231" s="7"/>
      <c r="W231" s="4"/>
      <c r="X231" s="4"/>
      <c r="Z231" s="7"/>
      <c r="AA231" s="4"/>
      <c r="AB231" s="3"/>
      <c r="AC231" s="3"/>
      <c r="AD231" s="3"/>
      <c r="AE231" s="3"/>
      <c r="AF231" s="3"/>
      <c r="AG231" s="3"/>
    </row>
    <row r="232" customFormat="false" ht="15.75" hidden="false" customHeight="false" outlineLevel="0" collapsed="false">
      <c r="A232" s="3"/>
      <c r="B232" s="3"/>
      <c r="C232" s="4"/>
      <c r="D232" s="4"/>
      <c r="E232" s="5"/>
      <c r="F232" s="6"/>
      <c r="N232" s="7"/>
      <c r="W232" s="4"/>
      <c r="X232" s="4"/>
      <c r="Z232" s="7"/>
      <c r="AA232" s="4"/>
      <c r="AB232" s="3"/>
      <c r="AC232" s="3"/>
      <c r="AD232" s="3"/>
      <c r="AE232" s="3"/>
      <c r="AF232" s="3"/>
      <c r="AG232" s="3"/>
    </row>
    <row r="233" customFormat="false" ht="15.75" hidden="false" customHeight="false" outlineLevel="0" collapsed="false">
      <c r="A233" s="3"/>
      <c r="B233" s="3"/>
      <c r="C233" s="4"/>
      <c r="D233" s="4"/>
      <c r="E233" s="5"/>
      <c r="F233" s="6"/>
      <c r="N233" s="7"/>
      <c r="W233" s="4"/>
      <c r="X233" s="4"/>
      <c r="Z233" s="7"/>
      <c r="AA233" s="4"/>
      <c r="AB233" s="3"/>
      <c r="AC233" s="3"/>
      <c r="AD233" s="3"/>
      <c r="AE233" s="3"/>
      <c r="AF233" s="3"/>
      <c r="AG233" s="3"/>
    </row>
    <row r="234" customFormat="false" ht="15.75" hidden="false" customHeight="false" outlineLevel="0" collapsed="false">
      <c r="A234" s="3"/>
      <c r="B234" s="3"/>
      <c r="C234" s="4"/>
      <c r="D234" s="4"/>
      <c r="E234" s="5"/>
      <c r="F234" s="6"/>
      <c r="N234" s="7"/>
      <c r="W234" s="4"/>
      <c r="X234" s="4"/>
      <c r="Z234" s="7"/>
      <c r="AA234" s="4"/>
      <c r="AB234" s="3"/>
      <c r="AC234" s="3"/>
      <c r="AD234" s="3"/>
      <c r="AE234" s="3"/>
      <c r="AF234" s="3"/>
      <c r="AG234" s="3"/>
    </row>
    <row r="235" customFormat="false" ht="15.75" hidden="false" customHeight="false" outlineLevel="0" collapsed="false">
      <c r="A235" s="3"/>
      <c r="B235" s="3"/>
      <c r="C235" s="4"/>
      <c r="D235" s="4"/>
      <c r="E235" s="5"/>
      <c r="F235" s="6"/>
      <c r="N235" s="7"/>
      <c r="W235" s="4"/>
      <c r="X235" s="4"/>
      <c r="Z235" s="7"/>
      <c r="AA235" s="4"/>
      <c r="AB235" s="3"/>
      <c r="AC235" s="3"/>
      <c r="AD235" s="3"/>
      <c r="AE235" s="3"/>
      <c r="AF235" s="3"/>
      <c r="AG235" s="3"/>
    </row>
    <row r="236" customFormat="false" ht="15.75" hidden="false" customHeight="false" outlineLevel="0" collapsed="false">
      <c r="A236" s="3"/>
      <c r="B236" s="3"/>
      <c r="C236" s="4"/>
      <c r="D236" s="4"/>
      <c r="E236" s="5"/>
      <c r="F236" s="6"/>
      <c r="N236" s="7"/>
      <c r="W236" s="4"/>
      <c r="X236" s="4"/>
      <c r="Z236" s="7"/>
      <c r="AA236" s="4"/>
      <c r="AB236" s="3"/>
      <c r="AC236" s="3"/>
      <c r="AD236" s="3"/>
      <c r="AE236" s="3"/>
      <c r="AF236" s="3"/>
      <c r="AG236" s="3"/>
    </row>
    <row r="237" customFormat="false" ht="15.75" hidden="false" customHeight="false" outlineLevel="0" collapsed="false">
      <c r="A237" s="3"/>
      <c r="B237" s="3"/>
      <c r="C237" s="4"/>
      <c r="D237" s="4"/>
      <c r="E237" s="5"/>
      <c r="F237" s="6"/>
      <c r="N237" s="7"/>
      <c r="W237" s="4"/>
      <c r="X237" s="4"/>
      <c r="Z237" s="7"/>
      <c r="AA237" s="4"/>
      <c r="AB237" s="3"/>
      <c r="AC237" s="3"/>
      <c r="AD237" s="3"/>
      <c r="AE237" s="3"/>
      <c r="AF237" s="3"/>
      <c r="AG237" s="3"/>
    </row>
    <row r="238" customFormat="false" ht="15.75" hidden="false" customHeight="false" outlineLevel="0" collapsed="false">
      <c r="A238" s="3"/>
      <c r="B238" s="3"/>
      <c r="C238" s="4"/>
      <c r="D238" s="4"/>
      <c r="E238" s="5"/>
      <c r="F238" s="6"/>
      <c r="N238" s="7"/>
      <c r="W238" s="4"/>
      <c r="X238" s="4"/>
      <c r="Z238" s="7"/>
      <c r="AA238" s="4"/>
      <c r="AB238" s="3"/>
      <c r="AC238" s="3"/>
      <c r="AD238" s="3"/>
      <c r="AE238" s="3"/>
      <c r="AF238" s="3"/>
      <c r="AG238" s="3"/>
    </row>
    <row r="239" customFormat="false" ht="15.75" hidden="false" customHeight="false" outlineLevel="0" collapsed="false">
      <c r="A239" s="3"/>
      <c r="B239" s="3"/>
      <c r="C239" s="4"/>
      <c r="D239" s="4"/>
      <c r="E239" s="5"/>
      <c r="F239" s="6"/>
      <c r="N239" s="7"/>
      <c r="W239" s="4"/>
      <c r="X239" s="4"/>
      <c r="Z239" s="7"/>
      <c r="AA239" s="4"/>
      <c r="AB239" s="3"/>
      <c r="AC239" s="3"/>
      <c r="AD239" s="3"/>
      <c r="AE239" s="3"/>
      <c r="AF239" s="3"/>
      <c r="AG239" s="3"/>
    </row>
    <row r="240" customFormat="false" ht="15.75" hidden="false" customHeight="false" outlineLevel="0" collapsed="false">
      <c r="A240" s="3"/>
      <c r="B240" s="3"/>
      <c r="C240" s="4"/>
      <c r="D240" s="4"/>
      <c r="E240" s="5"/>
      <c r="F240" s="6"/>
      <c r="N240" s="7"/>
      <c r="W240" s="4"/>
      <c r="X240" s="4"/>
      <c r="Z240" s="7"/>
      <c r="AA240" s="4"/>
      <c r="AB240" s="3"/>
      <c r="AC240" s="3"/>
      <c r="AD240" s="3"/>
      <c r="AE240" s="3"/>
      <c r="AF240" s="3"/>
      <c r="AG240" s="3"/>
    </row>
    <row r="241" customFormat="false" ht="15.75" hidden="false" customHeight="false" outlineLevel="0" collapsed="false">
      <c r="A241" s="3"/>
      <c r="B241" s="3"/>
      <c r="C241" s="4"/>
      <c r="D241" s="4"/>
      <c r="E241" s="5"/>
      <c r="F241" s="6"/>
      <c r="N241" s="7"/>
      <c r="W241" s="4"/>
      <c r="X241" s="4"/>
      <c r="Z241" s="7"/>
      <c r="AA241" s="4"/>
      <c r="AB241" s="3"/>
      <c r="AC241" s="3"/>
      <c r="AD241" s="3"/>
      <c r="AE241" s="3"/>
      <c r="AF241" s="3"/>
      <c r="AG241" s="3"/>
    </row>
    <row r="242" customFormat="false" ht="15.75" hidden="false" customHeight="false" outlineLevel="0" collapsed="false">
      <c r="A242" s="3"/>
      <c r="B242" s="3"/>
      <c r="C242" s="4"/>
      <c r="D242" s="4"/>
      <c r="E242" s="5"/>
      <c r="F242" s="6"/>
      <c r="N242" s="7"/>
      <c r="W242" s="4"/>
      <c r="X242" s="4"/>
      <c r="Z242" s="7"/>
      <c r="AA242" s="4"/>
      <c r="AB242" s="3"/>
      <c r="AC242" s="3"/>
      <c r="AD242" s="3"/>
      <c r="AE242" s="3"/>
      <c r="AF242" s="3"/>
      <c r="AG242" s="3"/>
    </row>
    <row r="243" customFormat="false" ht="15.75" hidden="false" customHeight="false" outlineLevel="0" collapsed="false">
      <c r="A243" s="3"/>
      <c r="B243" s="3"/>
      <c r="C243" s="4"/>
      <c r="D243" s="4"/>
      <c r="E243" s="5"/>
      <c r="F243" s="6"/>
      <c r="N243" s="7"/>
      <c r="W243" s="4"/>
      <c r="X243" s="4"/>
      <c r="Z243" s="7"/>
      <c r="AA243" s="4"/>
      <c r="AB243" s="3"/>
      <c r="AC243" s="3"/>
      <c r="AD243" s="3"/>
      <c r="AE243" s="3"/>
      <c r="AF243" s="3"/>
      <c r="AG243" s="3"/>
    </row>
    <row r="244" customFormat="false" ht="15.75" hidden="false" customHeight="false" outlineLevel="0" collapsed="false">
      <c r="A244" s="3"/>
      <c r="B244" s="3"/>
      <c r="C244" s="4"/>
      <c r="D244" s="4"/>
      <c r="E244" s="5"/>
      <c r="F244" s="6"/>
      <c r="N244" s="7"/>
      <c r="W244" s="4"/>
      <c r="X244" s="4"/>
      <c r="Z244" s="7"/>
      <c r="AA244" s="4"/>
      <c r="AB244" s="3"/>
      <c r="AC244" s="3"/>
      <c r="AD244" s="3"/>
      <c r="AE244" s="3"/>
      <c r="AF244" s="3"/>
      <c r="AG244" s="3"/>
    </row>
    <row r="245" customFormat="false" ht="15.75" hidden="false" customHeight="false" outlineLevel="0" collapsed="false">
      <c r="A245" s="3"/>
      <c r="B245" s="3"/>
      <c r="C245" s="4"/>
      <c r="D245" s="4"/>
      <c r="E245" s="5"/>
      <c r="F245" s="6"/>
      <c r="N245" s="7"/>
      <c r="W245" s="4"/>
      <c r="X245" s="4"/>
      <c r="Z245" s="7"/>
      <c r="AA245" s="4"/>
      <c r="AB245" s="3"/>
      <c r="AC245" s="3"/>
      <c r="AD245" s="3"/>
      <c r="AE245" s="3"/>
      <c r="AF245" s="3"/>
      <c r="AG245" s="3"/>
    </row>
    <row r="246" customFormat="false" ht="15.75" hidden="false" customHeight="false" outlineLevel="0" collapsed="false">
      <c r="A246" s="3"/>
      <c r="B246" s="3"/>
      <c r="C246" s="4"/>
      <c r="D246" s="4"/>
      <c r="E246" s="5"/>
      <c r="F246" s="6"/>
      <c r="N246" s="7"/>
      <c r="W246" s="4"/>
      <c r="X246" s="4"/>
      <c r="Z246" s="7"/>
      <c r="AA246" s="4"/>
      <c r="AB246" s="3"/>
      <c r="AC246" s="3"/>
      <c r="AD246" s="3"/>
      <c r="AE246" s="3"/>
      <c r="AF246" s="3"/>
      <c r="AG246" s="3"/>
    </row>
    <row r="247" customFormat="false" ht="15.75" hidden="false" customHeight="false" outlineLevel="0" collapsed="false">
      <c r="A247" s="3"/>
      <c r="B247" s="3"/>
      <c r="C247" s="4"/>
      <c r="D247" s="4"/>
      <c r="E247" s="5"/>
      <c r="F247" s="6"/>
      <c r="N247" s="7"/>
      <c r="W247" s="4"/>
      <c r="X247" s="4"/>
      <c r="Z247" s="7"/>
      <c r="AA247" s="4"/>
      <c r="AB247" s="3"/>
      <c r="AC247" s="3"/>
      <c r="AD247" s="3"/>
      <c r="AE247" s="3"/>
      <c r="AF247" s="3"/>
      <c r="AG247" s="3"/>
    </row>
    <row r="248" customFormat="false" ht="15.75" hidden="false" customHeight="false" outlineLevel="0" collapsed="false">
      <c r="A248" s="3"/>
      <c r="B248" s="3"/>
      <c r="C248" s="4"/>
      <c r="D248" s="4"/>
      <c r="E248" s="5"/>
      <c r="F248" s="6"/>
      <c r="N248" s="7"/>
      <c r="W248" s="4"/>
      <c r="X248" s="4"/>
      <c r="Z248" s="7"/>
      <c r="AA248" s="4"/>
      <c r="AB248" s="3"/>
      <c r="AC248" s="3"/>
      <c r="AD248" s="3"/>
      <c r="AE248" s="3"/>
      <c r="AF248" s="3"/>
      <c r="AG248" s="3"/>
    </row>
    <row r="249" customFormat="false" ht="15.75" hidden="false" customHeight="false" outlineLevel="0" collapsed="false">
      <c r="A249" s="3"/>
      <c r="B249" s="3"/>
      <c r="C249" s="4"/>
      <c r="D249" s="4"/>
      <c r="E249" s="5"/>
      <c r="F249" s="6"/>
      <c r="N249" s="7"/>
      <c r="W249" s="4"/>
      <c r="X249" s="4"/>
      <c r="Z249" s="7"/>
      <c r="AA249" s="4"/>
      <c r="AB249" s="3"/>
      <c r="AC249" s="3"/>
      <c r="AD249" s="3"/>
      <c r="AE249" s="3"/>
      <c r="AF249" s="3"/>
      <c r="AG249" s="3"/>
    </row>
    <row r="250" customFormat="false" ht="15.75" hidden="false" customHeight="false" outlineLevel="0" collapsed="false">
      <c r="A250" s="3"/>
      <c r="B250" s="3"/>
      <c r="C250" s="4"/>
      <c r="D250" s="4"/>
      <c r="E250" s="5"/>
      <c r="F250" s="6"/>
      <c r="N250" s="7"/>
      <c r="W250" s="4"/>
      <c r="X250" s="4"/>
      <c r="Z250" s="7"/>
      <c r="AA250" s="4"/>
      <c r="AB250" s="3"/>
      <c r="AC250" s="3"/>
      <c r="AD250" s="3"/>
      <c r="AE250" s="3"/>
      <c r="AF250" s="3"/>
      <c r="AG250" s="3"/>
    </row>
    <row r="251" customFormat="false" ht="15.75" hidden="false" customHeight="false" outlineLevel="0" collapsed="false">
      <c r="A251" s="3"/>
      <c r="B251" s="3"/>
      <c r="C251" s="4"/>
      <c r="D251" s="4"/>
      <c r="E251" s="5"/>
      <c r="F251" s="6"/>
      <c r="N251" s="7"/>
      <c r="W251" s="4"/>
      <c r="X251" s="4"/>
      <c r="Z251" s="7"/>
      <c r="AA251" s="4"/>
      <c r="AB251" s="3"/>
      <c r="AC251" s="3"/>
      <c r="AD251" s="3"/>
      <c r="AE251" s="3"/>
      <c r="AF251" s="3"/>
      <c r="AG251" s="3"/>
    </row>
    <row r="252" customFormat="false" ht="15.75" hidden="false" customHeight="false" outlineLevel="0" collapsed="false">
      <c r="A252" s="3"/>
      <c r="B252" s="3"/>
      <c r="C252" s="4"/>
      <c r="D252" s="4"/>
      <c r="E252" s="5"/>
      <c r="F252" s="6"/>
      <c r="N252" s="7"/>
      <c r="W252" s="4"/>
      <c r="X252" s="4"/>
      <c r="Z252" s="7"/>
      <c r="AA252" s="4"/>
      <c r="AB252" s="3"/>
      <c r="AC252" s="3"/>
      <c r="AD252" s="3"/>
      <c r="AE252" s="3"/>
      <c r="AF252" s="3"/>
      <c r="AG252" s="3"/>
    </row>
    <row r="253" customFormat="false" ht="15.75" hidden="false" customHeight="false" outlineLevel="0" collapsed="false">
      <c r="A253" s="3"/>
      <c r="B253" s="3"/>
      <c r="C253" s="4"/>
      <c r="D253" s="4"/>
      <c r="E253" s="5"/>
      <c r="F253" s="6"/>
      <c r="N253" s="7"/>
      <c r="W253" s="4"/>
      <c r="X253" s="4"/>
      <c r="Z253" s="7"/>
      <c r="AA253" s="4"/>
      <c r="AB253" s="3"/>
      <c r="AC253" s="3"/>
      <c r="AD253" s="3"/>
      <c r="AE253" s="3"/>
      <c r="AF253" s="3"/>
      <c r="AG253" s="3"/>
    </row>
    <row r="254" customFormat="false" ht="15.75" hidden="false" customHeight="false" outlineLevel="0" collapsed="false">
      <c r="A254" s="3"/>
      <c r="B254" s="3"/>
      <c r="C254" s="4"/>
      <c r="D254" s="4"/>
      <c r="E254" s="5"/>
      <c r="F254" s="6"/>
      <c r="N254" s="7"/>
      <c r="W254" s="4"/>
      <c r="X254" s="4"/>
      <c r="Z254" s="7"/>
      <c r="AA254" s="4"/>
      <c r="AB254" s="3"/>
      <c r="AC254" s="3"/>
      <c r="AD254" s="3"/>
      <c r="AE254" s="3"/>
      <c r="AF254" s="3"/>
      <c r="AG254" s="3"/>
    </row>
    <row r="255" customFormat="false" ht="15.75" hidden="false" customHeight="false" outlineLevel="0" collapsed="false">
      <c r="A255" s="3"/>
      <c r="B255" s="3"/>
      <c r="C255" s="4"/>
      <c r="D255" s="4"/>
      <c r="E255" s="5"/>
      <c r="F255" s="6"/>
      <c r="N255" s="7"/>
      <c r="W255" s="4"/>
      <c r="X255" s="4"/>
      <c r="Z255" s="7"/>
      <c r="AA255" s="4"/>
      <c r="AB255" s="3"/>
      <c r="AC255" s="3"/>
      <c r="AD255" s="3"/>
      <c r="AE255" s="3"/>
      <c r="AF255" s="3"/>
      <c r="AG255" s="3"/>
    </row>
    <row r="256" customFormat="false" ht="15.75" hidden="false" customHeight="false" outlineLevel="0" collapsed="false">
      <c r="A256" s="3"/>
      <c r="B256" s="3"/>
      <c r="C256" s="4"/>
      <c r="D256" s="4"/>
      <c r="E256" s="5"/>
      <c r="F256" s="6"/>
      <c r="N256" s="7"/>
      <c r="W256" s="4"/>
      <c r="X256" s="4"/>
      <c r="Z256" s="7"/>
      <c r="AA256" s="4"/>
      <c r="AB256" s="3"/>
      <c r="AC256" s="3"/>
      <c r="AD256" s="3"/>
      <c r="AE256" s="3"/>
      <c r="AF256" s="3"/>
      <c r="AG256" s="3"/>
    </row>
    <row r="257" customFormat="false" ht="15.75" hidden="false" customHeight="false" outlineLevel="0" collapsed="false">
      <c r="A257" s="3"/>
      <c r="B257" s="3"/>
      <c r="C257" s="4"/>
      <c r="D257" s="4"/>
      <c r="E257" s="5"/>
      <c r="F257" s="6"/>
      <c r="N257" s="7"/>
      <c r="W257" s="4"/>
      <c r="X257" s="4"/>
      <c r="Z257" s="7"/>
      <c r="AA257" s="4"/>
      <c r="AB257" s="3"/>
      <c r="AC257" s="3"/>
      <c r="AD257" s="3"/>
      <c r="AE257" s="3"/>
      <c r="AF257" s="3"/>
      <c r="AG257" s="3"/>
    </row>
    <row r="258" customFormat="false" ht="15.75" hidden="false" customHeight="false" outlineLevel="0" collapsed="false">
      <c r="A258" s="3"/>
      <c r="B258" s="3"/>
      <c r="C258" s="4"/>
      <c r="D258" s="4"/>
      <c r="E258" s="5"/>
      <c r="F258" s="6"/>
      <c r="N258" s="7"/>
      <c r="W258" s="4"/>
      <c r="X258" s="4"/>
      <c r="Z258" s="7"/>
      <c r="AA258" s="4"/>
      <c r="AB258" s="3"/>
      <c r="AC258" s="3"/>
      <c r="AD258" s="3"/>
      <c r="AE258" s="3"/>
      <c r="AF258" s="3"/>
      <c r="AG258" s="3"/>
    </row>
    <row r="259" customFormat="false" ht="15.75" hidden="false" customHeight="false" outlineLevel="0" collapsed="false">
      <c r="A259" s="3"/>
      <c r="B259" s="3"/>
      <c r="C259" s="4"/>
      <c r="D259" s="4"/>
      <c r="E259" s="5"/>
      <c r="F259" s="6"/>
      <c r="N259" s="7"/>
      <c r="W259" s="4"/>
      <c r="X259" s="4"/>
      <c r="Z259" s="7"/>
      <c r="AA259" s="4"/>
      <c r="AB259" s="3"/>
      <c r="AC259" s="3"/>
      <c r="AD259" s="3"/>
      <c r="AE259" s="3"/>
      <c r="AF259" s="3"/>
      <c r="AG259" s="3"/>
    </row>
    <row r="260" customFormat="false" ht="15.75" hidden="false" customHeight="false" outlineLevel="0" collapsed="false">
      <c r="A260" s="3"/>
      <c r="B260" s="3"/>
      <c r="C260" s="4"/>
      <c r="D260" s="4"/>
      <c r="E260" s="5"/>
      <c r="F260" s="6"/>
      <c r="N260" s="7"/>
      <c r="W260" s="4"/>
      <c r="X260" s="4"/>
      <c r="Z260" s="7"/>
      <c r="AA260" s="4"/>
      <c r="AB260" s="3"/>
      <c r="AC260" s="3"/>
      <c r="AD260" s="3"/>
      <c r="AE260" s="3"/>
      <c r="AF260" s="3"/>
      <c r="AG260" s="3"/>
    </row>
    <row r="261" customFormat="false" ht="15.75" hidden="false" customHeight="false" outlineLevel="0" collapsed="false">
      <c r="A261" s="3"/>
      <c r="B261" s="3"/>
      <c r="C261" s="4"/>
      <c r="D261" s="4"/>
      <c r="E261" s="5"/>
      <c r="F261" s="6"/>
      <c r="N261" s="7"/>
      <c r="W261" s="4"/>
      <c r="X261" s="4"/>
      <c r="Z261" s="7"/>
      <c r="AA261" s="4"/>
      <c r="AB261" s="3"/>
      <c r="AC261" s="3"/>
      <c r="AD261" s="3"/>
      <c r="AE261" s="3"/>
      <c r="AF261" s="3"/>
      <c r="AG261" s="3"/>
    </row>
    <row r="262" customFormat="false" ht="15.75" hidden="false" customHeight="false" outlineLevel="0" collapsed="false">
      <c r="A262" s="3"/>
      <c r="B262" s="3"/>
      <c r="C262" s="4"/>
      <c r="D262" s="4"/>
      <c r="E262" s="5"/>
      <c r="F262" s="6"/>
      <c r="N262" s="7"/>
      <c r="W262" s="4"/>
      <c r="X262" s="4"/>
      <c r="Z262" s="7"/>
      <c r="AA262" s="4"/>
      <c r="AB262" s="3"/>
      <c r="AC262" s="3"/>
      <c r="AD262" s="3"/>
      <c r="AE262" s="3"/>
      <c r="AF262" s="3"/>
      <c r="AG262" s="3"/>
    </row>
    <row r="263" customFormat="false" ht="15.75" hidden="false" customHeight="false" outlineLevel="0" collapsed="false">
      <c r="A263" s="3"/>
      <c r="B263" s="3"/>
      <c r="C263" s="4"/>
      <c r="D263" s="4"/>
      <c r="E263" s="5"/>
      <c r="F263" s="6"/>
      <c r="N263" s="7"/>
      <c r="W263" s="4"/>
      <c r="X263" s="4"/>
      <c r="Z263" s="7"/>
      <c r="AA263" s="4"/>
      <c r="AB263" s="3"/>
      <c r="AC263" s="3"/>
      <c r="AD263" s="3"/>
      <c r="AE263" s="3"/>
      <c r="AF263" s="3"/>
      <c r="AG263" s="3"/>
    </row>
    <row r="264" customFormat="false" ht="15.75" hidden="false" customHeight="false" outlineLevel="0" collapsed="false">
      <c r="A264" s="3"/>
      <c r="B264" s="3"/>
      <c r="C264" s="4"/>
      <c r="D264" s="4"/>
      <c r="E264" s="5"/>
      <c r="F264" s="6"/>
      <c r="N264" s="7"/>
      <c r="W264" s="4"/>
      <c r="X264" s="4"/>
      <c r="Z264" s="7"/>
      <c r="AA264" s="4"/>
      <c r="AB264" s="3"/>
      <c r="AC264" s="3"/>
      <c r="AD264" s="3"/>
      <c r="AE264" s="3"/>
      <c r="AF264" s="3"/>
      <c r="AG264" s="3"/>
    </row>
    <row r="265" customFormat="false" ht="15.75" hidden="false" customHeight="false" outlineLevel="0" collapsed="false">
      <c r="A265" s="3"/>
      <c r="B265" s="3"/>
      <c r="C265" s="4"/>
      <c r="D265" s="4"/>
      <c r="E265" s="5"/>
      <c r="F265" s="6"/>
      <c r="N265" s="7"/>
      <c r="W265" s="4"/>
      <c r="X265" s="4"/>
      <c r="Z265" s="7"/>
      <c r="AA265" s="4"/>
      <c r="AB265" s="3"/>
      <c r="AC265" s="3"/>
      <c r="AD265" s="3"/>
      <c r="AE265" s="3"/>
      <c r="AF265" s="3"/>
      <c r="AG265" s="3"/>
    </row>
    <row r="266" customFormat="false" ht="15.75" hidden="false" customHeight="false" outlineLevel="0" collapsed="false">
      <c r="A266" s="3"/>
      <c r="B266" s="3"/>
      <c r="C266" s="4"/>
      <c r="D266" s="4"/>
      <c r="E266" s="5"/>
      <c r="F266" s="6"/>
      <c r="N266" s="7"/>
      <c r="W266" s="4"/>
      <c r="X266" s="4"/>
      <c r="Z266" s="7"/>
      <c r="AA266" s="4"/>
      <c r="AB266" s="3"/>
      <c r="AC266" s="3"/>
      <c r="AD266" s="3"/>
      <c r="AE266" s="3"/>
      <c r="AF266" s="3"/>
      <c r="AG266" s="3"/>
    </row>
    <row r="267" customFormat="false" ht="15.75" hidden="false" customHeight="false" outlineLevel="0" collapsed="false">
      <c r="A267" s="3"/>
      <c r="B267" s="3"/>
      <c r="C267" s="4"/>
      <c r="D267" s="4"/>
      <c r="E267" s="5"/>
      <c r="F267" s="6"/>
      <c r="N267" s="7"/>
      <c r="W267" s="4"/>
      <c r="X267" s="4"/>
      <c r="Z267" s="7"/>
      <c r="AA267" s="4"/>
      <c r="AB267" s="3"/>
      <c r="AC267" s="3"/>
      <c r="AD267" s="3"/>
      <c r="AE267" s="3"/>
      <c r="AF267" s="3"/>
      <c r="AG267" s="3"/>
    </row>
    <row r="268" customFormat="false" ht="15.75" hidden="false" customHeight="false" outlineLevel="0" collapsed="false">
      <c r="A268" s="3"/>
      <c r="B268" s="3"/>
      <c r="C268" s="4"/>
      <c r="D268" s="4"/>
      <c r="E268" s="5"/>
      <c r="F268" s="6"/>
      <c r="N268" s="7"/>
      <c r="W268" s="4"/>
      <c r="X268" s="4"/>
      <c r="Z268" s="7"/>
      <c r="AA268" s="4"/>
      <c r="AB268" s="3"/>
      <c r="AC268" s="3"/>
      <c r="AD268" s="3"/>
      <c r="AE268" s="3"/>
      <c r="AF268" s="3"/>
      <c r="AG268" s="3"/>
    </row>
    <row r="269" customFormat="false" ht="15.75" hidden="false" customHeight="false" outlineLevel="0" collapsed="false">
      <c r="A269" s="3"/>
      <c r="B269" s="3"/>
      <c r="C269" s="4"/>
      <c r="D269" s="4"/>
      <c r="E269" s="5"/>
      <c r="F269" s="6"/>
      <c r="N269" s="7"/>
      <c r="W269" s="4"/>
      <c r="X269" s="4"/>
      <c r="Z269" s="7"/>
      <c r="AA269" s="4"/>
      <c r="AB269" s="3"/>
      <c r="AC269" s="3"/>
      <c r="AD269" s="3"/>
      <c r="AE269" s="3"/>
      <c r="AF269" s="3"/>
      <c r="AG269" s="3"/>
    </row>
    <row r="270" customFormat="false" ht="15.75" hidden="false" customHeight="false" outlineLevel="0" collapsed="false">
      <c r="A270" s="3"/>
      <c r="B270" s="3"/>
      <c r="C270" s="4"/>
      <c r="D270" s="4"/>
      <c r="E270" s="5"/>
      <c r="F270" s="6"/>
      <c r="N270" s="7"/>
      <c r="W270" s="4"/>
      <c r="X270" s="4"/>
      <c r="Z270" s="7"/>
      <c r="AA270" s="4"/>
      <c r="AB270" s="3"/>
      <c r="AC270" s="3"/>
      <c r="AD270" s="3"/>
      <c r="AE270" s="3"/>
      <c r="AF270" s="3"/>
      <c r="AG270" s="3"/>
    </row>
    <row r="271" customFormat="false" ht="15.75" hidden="false" customHeight="false" outlineLevel="0" collapsed="false">
      <c r="A271" s="3"/>
      <c r="B271" s="3"/>
      <c r="C271" s="4"/>
      <c r="D271" s="4"/>
      <c r="E271" s="5"/>
      <c r="F271" s="6"/>
      <c r="N271" s="7"/>
      <c r="W271" s="4"/>
      <c r="X271" s="4"/>
      <c r="Z271" s="7"/>
      <c r="AA271" s="4"/>
      <c r="AB271" s="3"/>
      <c r="AC271" s="3"/>
      <c r="AD271" s="3"/>
      <c r="AE271" s="3"/>
      <c r="AF271" s="3"/>
      <c r="AG271" s="3"/>
    </row>
    <row r="272" customFormat="false" ht="15.75" hidden="false" customHeight="false" outlineLevel="0" collapsed="false">
      <c r="A272" s="3"/>
      <c r="B272" s="3"/>
      <c r="C272" s="4"/>
      <c r="D272" s="4"/>
      <c r="E272" s="5"/>
      <c r="F272" s="6"/>
      <c r="N272" s="7"/>
      <c r="W272" s="4"/>
      <c r="X272" s="4"/>
      <c r="Z272" s="7"/>
      <c r="AA272" s="4"/>
      <c r="AB272" s="3"/>
      <c r="AC272" s="3"/>
      <c r="AD272" s="3"/>
      <c r="AE272" s="3"/>
      <c r="AF272" s="3"/>
      <c r="AG272" s="3"/>
    </row>
    <row r="273" customFormat="false" ht="15.75" hidden="false" customHeight="false" outlineLevel="0" collapsed="false">
      <c r="A273" s="3"/>
      <c r="B273" s="3"/>
      <c r="C273" s="4"/>
      <c r="D273" s="4"/>
      <c r="E273" s="5"/>
      <c r="F273" s="6"/>
      <c r="N273" s="7"/>
      <c r="W273" s="4"/>
      <c r="X273" s="4"/>
      <c r="Z273" s="7"/>
      <c r="AA273" s="4"/>
      <c r="AB273" s="3"/>
      <c r="AC273" s="3"/>
      <c r="AD273" s="3"/>
      <c r="AE273" s="3"/>
      <c r="AF273" s="3"/>
      <c r="AG273" s="3"/>
    </row>
    <row r="274" customFormat="false" ht="15.75" hidden="false" customHeight="false" outlineLevel="0" collapsed="false">
      <c r="A274" s="3"/>
      <c r="B274" s="3"/>
      <c r="C274" s="4"/>
      <c r="D274" s="4"/>
      <c r="E274" s="5"/>
      <c r="F274" s="6"/>
      <c r="N274" s="7"/>
      <c r="W274" s="4"/>
      <c r="X274" s="4"/>
      <c r="Z274" s="7"/>
      <c r="AA274" s="4"/>
      <c r="AB274" s="3"/>
      <c r="AC274" s="3"/>
      <c r="AD274" s="3"/>
      <c r="AE274" s="3"/>
      <c r="AF274" s="3"/>
      <c r="AG274" s="3"/>
    </row>
    <row r="275" customFormat="false" ht="15.75" hidden="false" customHeight="false" outlineLevel="0" collapsed="false">
      <c r="A275" s="3"/>
      <c r="B275" s="3"/>
      <c r="C275" s="4"/>
      <c r="D275" s="4"/>
      <c r="E275" s="5"/>
      <c r="F275" s="6"/>
      <c r="N275" s="7"/>
      <c r="W275" s="4"/>
      <c r="X275" s="4"/>
      <c r="Z275" s="7"/>
      <c r="AA275" s="4"/>
      <c r="AB275" s="3"/>
      <c r="AC275" s="3"/>
      <c r="AD275" s="3"/>
      <c r="AE275" s="3"/>
      <c r="AF275" s="3"/>
      <c r="AG275" s="3"/>
    </row>
    <row r="276" customFormat="false" ht="15.75" hidden="false" customHeight="false" outlineLevel="0" collapsed="false">
      <c r="A276" s="3"/>
      <c r="B276" s="3"/>
      <c r="C276" s="4"/>
      <c r="D276" s="4"/>
      <c r="E276" s="5"/>
      <c r="F276" s="6"/>
      <c r="N276" s="7"/>
      <c r="W276" s="4"/>
      <c r="X276" s="4"/>
      <c r="Z276" s="7"/>
      <c r="AA276" s="4"/>
      <c r="AB276" s="3"/>
      <c r="AC276" s="3"/>
      <c r="AD276" s="3"/>
      <c r="AE276" s="3"/>
      <c r="AF276" s="3"/>
      <c r="AG276" s="3"/>
    </row>
    <row r="277" customFormat="false" ht="15.75" hidden="false" customHeight="false" outlineLevel="0" collapsed="false">
      <c r="A277" s="3"/>
      <c r="B277" s="3"/>
      <c r="C277" s="4"/>
      <c r="D277" s="4"/>
      <c r="E277" s="5"/>
      <c r="F277" s="6"/>
      <c r="N277" s="7"/>
      <c r="W277" s="4"/>
      <c r="X277" s="4"/>
      <c r="Z277" s="7"/>
      <c r="AA277" s="4"/>
      <c r="AB277" s="3"/>
      <c r="AC277" s="3"/>
      <c r="AD277" s="3"/>
      <c r="AE277" s="3"/>
      <c r="AF277" s="3"/>
      <c r="AG277" s="3"/>
    </row>
    <row r="278" customFormat="false" ht="15.75" hidden="false" customHeight="false" outlineLevel="0" collapsed="false">
      <c r="A278" s="3"/>
      <c r="B278" s="3"/>
      <c r="C278" s="4"/>
      <c r="D278" s="4"/>
      <c r="E278" s="5"/>
      <c r="F278" s="6"/>
      <c r="N278" s="7"/>
      <c r="W278" s="4"/>
      <c r="X278" s="4"/>
      <c r="Z278" s="7"/>
      <c r="AA278" s="4"/>
      <c r="AB278" s="3"/>
      <c r="AC278" s="3"/>
      <c r="AD278" s="3"/>
      <c r="AE278" s="3"/>
      <c r="AF278" s="3"/>
      <c r="AG278" s="3"/>
    </row>
    <row r="279" customFormat="false" ht="15.75" hidden="false" customHeight="false" outlineLevel="0" collapsed="false">
      <c r="A279" s="3"/>
      <c r="B279" s="3"/>
      <c r="C279" s="4"/>
      <c r="D279" s="4"/>
      <c r="E279" s="5"/>
      <c r="F279" s="6"/>
      <c r="N279" s="7"/>
      <c r="W279" s="4"/>
      <c r="X279" s="4"/>
      <c r="Z279" s="7"/>
      <c r="AA279" s="4"/>
      <c r="AB279" s="3"/>
      <c r="AC279" s="3"/>
      <c r="AD279" s="3"/>
      <c r="AE279" s="3"/>
      <c r="AF279" s="3"/>
      <c r="AG279" s="3"/>
    </row>
    <row r="280" customFormat="false" ht="15.75" hidden="false" customHeight="false" outlineLevel="0" collapsed="false">
      <c r="A280" s="3"/>
      <c r="B280" s="3"/>
      <c r="C280" s="4"/>
      <c r="D280" s="4"/>
      <c r="E280" s="5"/>
      <c r="F280" s="6"/>
      <c r="N280" s="7"/>
      <c r="W280" s="4"/>
      <c r="X280" s="4"/>
      <c r="Z280" s="7"/>
      <c r="AA280" s="4"/>
      <c r="AB280" s="3"/>
      <c r="AC280" s="3"/>
      <c r="AD280" s="3"/>
      <c r="AE280" s="3"/>
      <c r="AF280" s="3"/>
      <c r="AG280" s="3"/>
    </row>
    <row r="281" customFormat="false" ht="15.75" hidden="false" customHeight="false" outlineLevel="0" collapsed="false">
      <c r="A281" s="3"/>
      <c r="B281" s="3"/>
      <c r="C281" s="4"/>
      <c r="D281" s="4"/>
      <c r="E281" s="5"/>
      <c r="F281" s="6"/>
      <c r="N281" s="7"/>
      <c r="W281" s="4"/>
      <c r="X281" s="4"/>
      <c r="Z281" s="7"/>
      <c r="AA281" s="4"/>
      <c r="AB281" s="3"/>
      <c r="AC281" s="3"/>
      <c r="AD281" s="3"/>
      <c r="AE281" s="3"/>
      <c r="AF281" s="3"/>
      <c r="AG281" s="3"/>
    </row>
    <row r="282" customFormat="false" ht="15.75" hidden="false" customHeight="false" outlineLevel="0" collapsed="false">
      <c r="A282" s="3"/>
      <c r="B282" s="3"/>
      <c r="C282" s="4"/>
      <c r="D282" s="4"/>
      <c r="E282" s="5"/>
      <c r="F282" s="6"/>
      <c r="N282" s="7"/>
      <c r="W282" s="4"/>
      <c r="X282" s="4"/>
      <c r="Z282" s="7"/>
      <c r="AA282" s="4"/>
      <c r="AB282" s="3"/>
      <c r="AC282" s="3"/>
      <c r="AD282" s="3"/>
      <c r="AE282" s="3"/>
      <c r="AF282" s="3"/>
      <c r="AG282" s="3"/>
    </row>
    <row r="283" customFormat="false" ht="15.75" hidden="false" customHeight="false" outlineLevel="0" collapsed="false">
      <c r="A283" s="3"/>
      <c r="B283" s="3"/>
      <c r="C283" s="4"/>
      <c r="D283" s="4"/>
      <c r="E283" s="5"/>
      <c r="F283" s="6"/>
      <c r="N283" s="7"/>
      <c r="W283" s="4"/>
      <c r="X283" s="4"/>
      <c r="Z283" s="7"/>
      <c r="AA283" s="4"/>
      <c r="AB283" s="3"/>
      <c r="AC283" s="3"/>
      <c r="AD283" s="3"/>
      <c r="AE283" s="3"/>
      <c r="AF283" s="3"/>
      <c r="AG283" s="3"/>
    </row>
    <row r="284" customFormat="false" ht="15.75" hidden="false" customHeight="false" outlineLevel="0" collapsed="false">
      <c r="A284" s="3"/>
      <c r="B284" s="3"/>
      <c r="C284" s="4"/>
      <c r="D284" s="4"/>
      <c r="E284" s="5"/>
      <c r="F284" s="6"/>
      <c r="N284" s="7"/>
      <c r="W284" s="4"/>
      <c r="X284" s="4"/>
      <c r="Z284" s="7"/>
      <c r="AA284" s="4"/>
      <c r="AB284" s="3"/>
      <c r="AC284" s="3"/>
      <c r="AD284" s="3"/>
      <c r="AE284" s="3"/>
      <c r="AF284" s="3"/>
      <c r="AG284" s="3"/>
    </row>
    <row r="285" customFormat="false" ht="15.75" hidden="false" customHeight="false" outlineLevel="0" collapsed="false">
      <c r="A285" s="3"/>
      <c r="B285" s="3"/>
      <c r="C285" s="4"/>
      <c r="D285" s="4"/>
      <c r="E285" s="5"/>
      <c r="F285" s="6"/>
      <c r="N285" s="7"/>
      <c r="W285" s="4"/>
      <c r="X285" s="4"/>
      <c r="Z285" s="7"/>
      <c r="AA285" s="4"/>
      <c r="AB285" s="3"/>
      <c r="AC285" s="3"/>
      <c r="AD285" s="3"/>
      <c r="AE285" s="3"/>
      <c r="AF285" s="3"/>
      <c r="AG285" s="3"/>
    </row>
    <row r="286" customFormat="false" ht="15.75" hidden="false" customHeight="false" outlineLevel="0" collapsed="false">
      <c r="A286" s="3"/>
      <c r="B286" s="3"/>
      <c r="C286" s="4"/>
      <c r="D286" s="4"/>
      <c r="E286" s="5"/>
      <c r="F286" s="6"/>
      <c r="N286" s="7"/>
      <c r="W286" s="4"/>
      <c r="X286" s="4"/>
      <c r="Z286" s="7"/>
      <c r="AA286" s="4"/>
      <c r="AB286" s="3"/>
      <c r="AC286" s="3"/>
      <c r="AD286" s="3"/>
      <c r="AE286" s="3"/>
      <c r="AF286" s="3"/>
      <c r="AG286" s="3"/>
    </row>
    <row r="287" customFormat="false" ht="15.75" hidden="false" customHeight="false" outlineLevel="0" collapsed="false">
      <c r="A287" s="3"/>
      <c r="B287" s="3"/>
      <c r="C287" s="4"/>
      <c r="D287" s="4"/>
      <c r="E287" s="5"/>
      <c r="F287" s="6"/>
      <c r="N287" s="7"/>
      <c r="W287" s="4"/>
      <c r="X287" s="4"/>
      <c r="Z287" s="7"/>
      <c r="AA287" s="4"/>
      <c r="AB287" s="3"/>
      <c r="AC287" s="3"/>
      <c r="AD287" s="3"/>
      <c r="AE287" s="3"/>
      <c r="AF287" s="3"/>
      <c r="AG287" s="3"/>
    </row>
    <row r="288" customFormat="false" ht="15.75" hidden="false" customHeight="false" outlineLevel="0" collapsed="false">
      <c r="A288" s="3"/>
      <c r="B288" s="3"/>
      <c r="C288" s="4"/>
      <c r="D288" s="4"/>
      <c r="E288" s="5"/>
      <c r="F288" s="6"/>
      <c r="N288" s="7"/>
      <c r="W288" s="4"/>
      <c r="X288" s="4"/>
      <c r="Z288" s="7"/>
      <c r="AA288" s="4"/>
      <c r="AB288" s="3"/>
      <c r="AC288" s="3"/>
      <c r="AD288" s="3"/>
      <c r="AE288" s="3"/>
      <c r="AF288" s="3"/>
      <c r="AG288" s="3"/>
    </row>
    <row r="289" customFormat="false" ht="15.75" hidden="false" customHeight="false" outlineLevel="0" collapsed="false">
      <c r="A289" s="3"/>
      <c r="B289" s="3"/>
      <c r="C289" s="4"/>
      <c r="D289" s="4"/>
      <c r="E289" s="5"/>
      <c r="F289" s="6"/>
      <c r="N289" s="7"/>
      <c r="W289" s="4"/>
      <c r="X289" s="4"/>
      <c r="Z289" s="7"/>
      <c r="AA289" s="4"/>
      <c r="AB289" s="3"/>
      <c r="AC289" s="3"/>
      <c r="AD289" s="3"/>
      <c r="AE289" s="3"/>
      <c r="AF289" s="3"/>
      <c r="AG289" s="3"/>
    </row>
    <row r="290" customFormat="false" ht="15.75" hidden="false" customHeight="false" outlineLevel="0" collapsed="false">
      <c r="A290" s="3"/>
      <c r="B290" s="3"/>
      <c r="C290" s="4"/>
      <c r="D290" s="4"/>
      <c r="E290" s="5"/>
      <c r="F290" s="6"/>
      <c r="N290" s="7"/>
      <c r="W290" s="4"/>
      <c r="X290" s="4"/>
      <c r="Z290" s="7"/>
      <c r="AA290" s="4"/>
      <c r="AB290" s="3"/>
      <c r="AC290" s="3"/>
      <c r="AD290" s="3"/>
      <c r="AE290" s="3"/>
      <c r="AF290" s="3"/>
      <c r="AG290" s="3"/>
    </row>
    <row r="291" customFormat="false" ht="15.75" hidden="false" customHeight="false" outlineLevel="0" collapsed="false">
      <c r="A291" s="3"/>
      <c r="B291" s="3"/>
      <c r="C291" s="4"/>
      <c r="D291" s="4"/>
      <c r="E291" s="5"/>
      <c r="F291" s="6"/>
      <c r="N291" s="7"/>
      <c r="W291" s="4"/>
      <c r="X291" s="4"/>
      <c r="Z291" s="7"/>
      <c r="AA291" s="4"/>
      <c r="AB291" s="3"/>
      <c r="AC291" s="3"/>
      <c r="AD291" s="3"/>
      <c r="AE291" s="3"/>
      <c r="AF291" s="3"/>
      <c r="AG291" s="3"/>
    </row>
    <row r="292" customFormat="false" ht="15.75" hidden="false" customHeight="false" outlineLevel="0" collapsed="false">
      <c r="A292" s="3"/>
      <c r="B292" s="3"/>
      <c r="C292" s="4"/>
      <c r="D292" s="4"/>
      <c r="E292" s="5"/>
      <c r="F292" s="6"/>
      <c r="N292" s="7"/>
      <c r="W292" s="4"/>
      <c r="X292" s="4"/>
      <c r="Z292" s="7"/>
      <c r="AA292" s="4"/>
      <c r="AB292" s="3"/>
      <c r="AC292" s="3"/>
      <c r="AD292" s="3"/>
      <c r="AE292" s="3"/>
      <c r="AF292" s="3"/>
      <c r="AG292" s="3"/>
    </row>
    <row r="293" customFormat="false" ht="15.75" hidden="false" customHeight="false" outlineLevel="0" collapsed="false">
      <c r="A293" s="3"/>
      <c r="B293" s="3"/>
      <c r="C293" s="4"/>
      <c r="D293" s="4"/>
      <c r="E293" s="5"/>
      <c r="F293" s="6"/>
      <c r="N293" s="7"/>
      <c r="W293" s="4"/>
      <c r="X293" s="4"/>
      <c r="Z293" s="7"/>
      <c r="AA293" s="4"/>
      <c r="AB293" s="3"/>
      <c r="AC293" s="3"/>
      <c r="AD293" s="3"/>
      <c r="AE293" s="3"/>
      <c r="AF293" s="3"/>
      <c r="AG293" s="3"/>
    </row>
    <row r="294" customFormat="false" ht="15.75" hidden="false" customHeight="false" outlineLevel="0" collapsed="false">
      <c r="A294" s="3"/>
      <c r="B294" s="3"/>
      <c r="C294" s="4"/>
      <c r="D294" s="4"/>
      <c r="E294" s="5"/>
      <c r="F294" s="6"/>
      <c r="N294" s="7"/>
      <c r="W294" s="4"/>
      <c r="X294" s="4"/>
      <c r="Z294" s="7"/>
      <c r="AA294" s="4"/>
      <c r="AB294" s="3"/>
      <c r="AC294" s="3"/>
      <c r="AD294" s="3"/>
      <c r="AE294" s="3"/>
      <c r="AF294" s="3"/>
      <c r="AG294" s="3"/>
    </row>
    <row r="295" customFormat="false" ht="15.75" hidden="false" customHeight="false" outlineLevel="0" collapsed="false">
      <c r="A295" s="3"/>
      <c r="B295" s="3"/>
      <c r="C295" s="4"/>
      <c r="D295" s="4"/>
      <c r="E295" s="5"/>
      <c r="F295" s="6"/>
      <c r="N295" s="7"/>
      <c r="W295" s="4"/>
      <c r="X295" s="4"/>
      <c r="Z295" s="7"/>
      <c r="AA295" s="4"/>
      <c r="AB295" s="3"/>
      <c r="AC295" s="3"/>
      <c r="AD295" s="3"/>
      <c r="AE295" s="3"/>
      <c r="AF295" s="3"/>
      <c r="AG295" s="3"/>
    </row>
    <row r="296" customFormat="false" ht="15.75" hidden="false" customHeight="false" outlineLevel="0" collapsed="false">
      <c r="A296" s="3"/>
      <c r="B296" s="3"/>
      <c r="C296" s="4"/>
      <c r="D296" s="4"/>
      <c r="E296" s="5"/>
      <c r="F296" s="6"/>
      <c r="N296" s="7"/>
      <c r="W296" s="4"/>
      <c r="X296" s="4"/>
      <c r="Z296" s="7"/>
      <c r="AA296" s="4"/>
      <c r="AB296" s="3"/>
      <c r="AC296" s="3"/>
      <c r="AD296" s="3"/>
      <c r="AE296" s="3"/>
      <c r="AF296" s="3"/>
      <c r="AG296" s="3"/>
    </row>
    <row r="297" customFormat="false" ht="15.75" hidden="false" customHeight="false" outlineLevel="0" collapsed="false">
      <c r="A297" s="3"/>
      <c r="B297" s="3"/>
      <c r="C297" s="4"/>
      <c r="D297" s="4"/>
      <c r="E297" s="5"/>
      <c r="F297" s="6"/>
      <c r="N297" s="7"/>
      <c r="W297" s="4"/>
      <c r="X297" s="4"/>
      <c r="Z297" s="7"/>
      <c r="AA297" s="4"/>
      <c r="AB297" s="3"/>
      <c r="AC297" s="3"/>
      <c r="AD297" s="3"/>
      <c r="AE297" s="3"/>
      <c r="AF297" s="3"/>
      <c r="AG297" s="3"/>
    </row>
    <row r="298" customFormat="false" ht="15.75" hidden="false" customHeight="false" outlineLevel="0" collapsed="false">
      <c r="A298" s="3"/>
      <c r="B298" s="3"/>
      <c r="C298" s="4"/>
      <c r="D298" s="4"/>
      <c r="E298" s="5"/>
      <c r="F298" s="6"/>
      <c r="N298" s="7"/>
      <c r="W298" s="4"/>
      <c r="X298" s="4"/>
      <c r="Z298" s="7"/>
      <c r="AA298" s="4"/>
      <c r="AB298" s="3"/>
      <c r="AC298" s="3"/>
      <c r="AD298" s="3"/>
      <c r="AE298" s="3"/>
      <c r="AF298" s="3"/>
      <c r="AG298" s="3"/>
    </row>
    <row r="299" customFormat="false" ht="15.75" hidden="false" customHeight="false" outlineLevel="0" collapsed="false">
      <c r="A299" s="3"/>
      <c r="B299" s="3"/>
      <c r="C299" s="4"/>
      <c r="D299" s="4"/>
      <c r="E299" s="5"/>
      <c r="F299" s="6"/>
      <c r="N299" s="7"/>
      <c r="W299" s="4"/>
      <c r="X299" s="4"/>
      <c r="Z299" s="7"/>
      <c r="AA299" s="4"/>
      <c r="AB299" s="3"/>
      <c r="AC299" s="3"/>
      <c r="AD299" s="3"/>
      <c r="AE299" s="3"/>
      <c r="AF299" s="3"/>
      <c r="AG299" s="3"/>
    </row>
    <row r="300" customFormat="false" ht="15.75" hidden="false" customHeight="false" outlineLevel="0" collapsed="false">
      <c r="A300" s="3"/>
      <c r="B300" s="3"/>
      <c r="C300" s="4"/>
      <c r="D300" s="4"/>
      <c r="E300" s="5"/>
      <c r="F300" s="6"/>
      <c r="N300" s="7"/>
      <c r="W300" s="4"/>
      <c r="X300" s="4"/>
      <c r="Z300" s="7"/>
      <c r="AA300" s="4"/>
      <c r="AB300" s="3"/>
      <c r="AC300" s="3"/>
      <c r="AD300" s="3"/>
      <c r="AE300" s="3"/>
      <c r="AF300" s="3"/>
      <c r="AG300" s="3"/>
    </row>
    <row r="301" customFormat="false" ht="15.75" hidden="false" customHeight="false" outlineLevel="0" collapsed="false">
      <c r="A301" s="3"/>
      <c r="B301" s="3"/>
      <c r="C301" s="4"/>
      <c r="D301" s="4"/>
      <c r="E301" s="5"/>
      <c r="F301" s="6"/>
      <c r="N301" s="7"/>
      <c r="W301" s="4"/>
      <c r="X301" s="4"/>
      <c r="Z301" s="7"/>
      <c r="AA301" s="4"/>
      <c r="AB301" s="3"/>
      <c r="AC301" s="3"/>
      <c r="AD301" s="3"/>
      <c r="AE301" s="3"/>
      <c r="AF301" s="3"/>
      <c r="AG301" s="3"/>
    </row>
    <row r="302" customFormat="false" ht="15.75" hidden="false" customHeight="false" outlineLevel="0" collapsed="false">
      <c r="A302" s="3"/>
      <c r="B302" s="3"/>
      <c r="C302" s="4"/>
      <c r="D302" s="4"/>
      <c r="E302" s="5"/>
      <c r="F302" s="6"/>
      <c r="N302" s="7"/>
      <c r="W302" s="4"/>
      <c r="X302" s="4"/>
      <c r="Z302" s="7"/>
      <c r="AA302" s="4"/>
      <c r="AB302" s="3"/>
      <c r="AC302" s="3"/>
      <c r="AD302" s="3"/>
      <c r="AE302" s="3"/>
      <c r="AF302" s="3"/>
      <c r="AG302" s="3"/>
    </row>
    <row r="303" customFormat="false" ht="15.75" hidden="false" customHeight="false" outlineLevel="0" collapsed="false">
      <c r="A303" s="3"/>
      <c r="B303" s="3"/>
      <c r="C303" s="4"/>
      <c r="D303" s="4"/>
      <c r="E303" s="5"/>
      <c r="F303" s="6"/>
      <c r="N303" s="7"/>
      <c r="W303" s="4"/>
      <c r="X303" s="4"/>
      <c r="Z303" s="7"/>
      <c r="AA303" s="4"/>
      <c r="AB303" s="3"/>
      <c r="AC303" s="3"/>
      <c r="AD303" s="3"/>
      <c r="AE303" s="3"/>
      <c r="AF303" s="3"/>
      <c r="AG303" s="3"/>
    </row>
    <row r="304" customFormat="false" ht="15.75" hidden="false" customHeight="false" outlineLevel="0" collapsed="false">
      <c r="A304" s="3"/>
      <c r="B304" s="3"/>
      <c r="C304" s="4"/>
      <c r="D304" s="4"/>
      <c r="E304" s="5"/>
      <c r="F304" s="6"/>
      <c r="N304" s="7"/>
      <c r="W304" s="4"/>
      <c r="X304" s="4"/>
      <c r="Z304" s="7"/>
      <c r="AA304" s="4"/>
      <c r="AB304" s="3"/>
      <c r="AC304" s="3"/>
      <c r="AD304" s="3"/>
      <c r="AE304" s="3"/>
      <c r="AF304" s="3"/>
      <c r="AG304" s="3"/>
    </row>
    <row r="305" customFormat="false" ht="15.75" hidden="false" customHeight="false" outlineLevel="0" collapsed="false">
      <c r="A305" s="3"/>
      <c r="B305" s="3"/>
      <c r="C305" s="4"/>
      <c r="D305" s="4"/>
      <c r="E305" s="5"/>
      <c r="F305" s="6"/>
      <c r="N305" s="7"/>
      <c r="W305" s="4"/>
      <c r="X305" s="4"/>
      <c r="Z305" s="7"/>
      <c r="AA305" s="4"/>
      <c r="AB305" s="3"/>
      <c r="AC305" s="3"/>
      <c r="AD305" s="3"/>
      <c r="AE305" s="3"/>
      <c r="AF305" s="3"/>
      <c r="AG305" s="3"/>
    </row>
    <row r="306" customFormat="false" ht="15.75" hidden="false" customHeight="false" outlineLevel="0" collapsed="false">
      <c r="A306" s="3"/>
      <c r="B306" s="3"/>
      <c r="C306" s="4"/>
      <c r="D306" s="4"/>
      <c r="E306" s="5"/>
      <c r="F306" s="6"/>
      <c r="N306" s="7"/>
      <c r="W306" s="4"/>
      <c r="X306" s="4"/>
      <c r="Z306" s="7"/>
      <c r="AA306" s="4"/>
      <c r="AB306" s="3"/>
      <c r="AC306" s="3"/>
      <c r="AD306" s="3"/>
      <c r="AE306" s="3"/>
      <c r="AF306" s="3"/>
      <c r="AG306" s="3"/>
    </row>
    <row r="307" customFormat="false" ht="15.75" hidden="false" customHeight="false" outlineLevel="0" collapsed="false">
      <c r="A307" s="3"/>
      <c r="B307" s="3"/>
      <c r="C307" s="4"/>
      <c r="D307" s="4"/>
      <c r="E307" s="5"/>
      <c r="F307" s="6"/>
      <c r="N307" s="7"/>
      <c r="W307" s="4"/>
      <c r="X307" s="4"/>
      <c r="Z307" s="7"/>
      <c r="AA307" s="4"/>
      <c r="AB307" s="3"/>
      <c r="AC307" s="3"/>
      <c r="AD307" s="3"/>
      <c r="AE307" s="3"/>
      <c r="AF307" s="3"/>
      <c r="AG307" s="3"/>
    </row>
    <row r="308" customFormat="false" ht="15.75" hidden="false" customHeight="false" outlineLevel="0" collapsed="false">
      <c r="A308" s="3"/>
      <c r="B308" s="3"/>
      <c r="C308" s="4"/>
      <c r="D308" s="4"/>
      <c r="E308" s="5"/>
      <c r="F308" s="6"/>
      <c r="N308" s="7"/>
      <c r="W308" s="4"/>
      <c r="X308" s="4"/>
      <c r="Z308" s="7"/>
      <c r="AA308" s="4"/>
      <c r="AB308" s="3"/>
      <c r="AC308" s="3"/>
      <c r="AD308" s="3"/>
      <c r="AE308" s="3"/>
      <c r="AF308" s="3"/>
      <c r="AG308" s="3"/>
    </row>
    <row r="309" customFormat="false" ht="15.75" hidden="false" customHeight="false" outlineLevel="0" collapsed="false">
      <c r="A309" s="3"/>
      <c r="B309" s="3"/>
      <c r="C309" s="4"/>
      <c r="D309" s="4"/>
      <c r="E309" s="5"/>
      <c r="F309" s="6"/>
      <c r="N309" s="7"/>
      <c r="W309" s="4"/>
      <c r="X309" s="4"/>
      <c r="Z309" s="7"/>
      <c r="AA309" s="4"/>
      <c r="AB309" s="3"/>
      <c r="AC309" s="3"/>
      <c r="AD309" s="3"/>
      <c r="AE309" s="3"/>
      <c r="AF309" s="3"/>
      <c r="AG309" s="3"/>
    </row>
    <row r="310" customFormat="false" ht="15.75" hidden="false" customHeight="false" outlineLevel="0" collapsed="false">
      <c r="A310" s="3"/>
      <c r="B310" s="3"/>
      <c r="C310" s="4"/>
      <c r="D310" s="4"/>
      <c r="E310" s="5"/>
      <c r="F310" s="6"/>
      <c r="N310" s="7"/>
      <c r="W310" s="4"/>
      <c r="X310" s="4"/>
      <c r="Z310" s="7"/>
      <c r="AA310" s="4"/>
      <c r="AB310" s="3"/>
      <c r="AC310" s="3"/>
      <c r="AD310" s="3"/>
      <c r="AE310" s="3"/>
      <c r="AF310" s="3"/>
      <c r="AG310" s="3"/>
    </row>
    <row r="311" customFormat="false" ht="15.75" hidden="false" customHeight="false" outlineLevel="0" collapsed="false">
      <c r="A311" s="3"/>
      <c r="B311" s="3"/>
      <c r="C311" s="4"/>
      <c r="D311" s="4"/>
      <c r="E311" s="5"/>
      <c r="F311" s="6"/>
      <c r="N311" s="7"/>
      <c r="W311" s="4"/>
      <c r="X311" s="4"/>
      <c r="Z311" s="7"/>
      <c r="AA311" s="4"/>
      <c r="AB311" s="3"/>
      <c r="AC311" s="3"/>
      <c r="AD311" s="3"/>
      <c r="AE311" s="3"/>
      <c r="AF311" s="3"/>
      <c r="AG311" s="3"/>
    </row>
    <row r="312" customFormat="false" ht="15.75" hidden="false" customHeight="false" outlineLevel="0" collapsed="false">
      <c r="A312" s="3"/>
      <c r="B312" s="3"/>
      <c r="C312" s="4"/>
      <c r="D312" s="4"/>
      <c r="E312" s="5"/>
      <c r="F312" s="6"/>
      <c r="N312" s="7"/>
      <c r="W312" s="4"/>
      <c r="X312" s="4"/>
      <c r="Z312" s="7"/>
      <c r="AA312" s="4"/>
      <c r="AB312" s="3"/>
      <c r="AC312" s="3"/>
      <c r="AD312" s="3"/>
      <c r="AE312" s="3"/>
      <c r="AF312" s="3"/>
      <c r="AG312" s="3"/>
    </row>
    <row r="313" customFormat="false" ht="15.75" hidden="false" customHeight="false" outlineLevel="0" collapsed="false">
      <c r="A313" s="3"/>
      <c r="B313" s="3"/>
      <c r="C313" s="4"/>
      <c r="D313" s="4"/>
      <c r="E313" s="5"/>
      <c r="F313" s="6"/>
      <c r="N313" s="7"/>
      <c r="W313" s="4"/>
      <c r="X313" s="4"/>
      <c r="Z313" s="7"/>
      <c r="AA313" s="4"/>
      <c r="AB313" s="3"/>
      <c r="AC313" s="3"/>
      <c r="AD313" s="3"/>
      <c r="AE313" s="3"/>
      <c r="AF313" s="3"/>
      <c r="AG313" s="3"/>
    </row>
    <row r="314" customFormat="false" ht="15.75" hidden="false" customHeight="false" outlineLevel="0" collapsed="false">
      <c r="A314" s="3"/>
      <c r="B314" s="3"/>
      <c r="C314" s="4"/>
      <c r="D314" s="4"/>
      <c r="E314" s="5"/>
      <c r="F314" s="6"/>
      <c r="N314" s="7"/>
      <c r="W314" s="4"/>
      <c r="X314" s="4"/>
      <c r="Z314" s="7"/>
      <c r="AA314" s="4"/>
      <c r="AB314" s="3"/>
      <c r="AC314" s="3"/>
      <c r="AD314" s="3"/>
      <c r="AE314" s="3"/>
      <c r="AF314" s="3"/>
      <c r="AG314" s="3"/>
    </row>
    <row r="315" customFormat="false" ht="15.75" hidden="false" customHeight="false" outlineLevel="0" collapsed="false">
      <c r="A315" s="3"/>
      <c r="B315" s="3"/>
      <c r="C315" s="4"/>
      <c r="D315" s="4"/>
      <c r="E315" s="5"/>
      <c r="F315" s="6"/>
      <c r="N315" s="7"/>
      <c r="W315" s="4"/>
      <c r="X315" s="4"/>
      <c r="Z315" s="7"/>
      <c r="AA315" s="4"/>
      <c r="AB315" s="3"/>
      <c r="AC315" s="3"/>
      <c r="AD315" s="3"/>
      <c r="AE315" s="3"/>
      <c r="AF315" s="3"/>
      <c r="AG315" s="3"/>
    </row>
    <row r="316" customFormat="false" ht="15.75" hidden="false" customHeight="false" outlineLevel="0" collapsed="false">
      <c r="A316" s="3"/>
      <c r="B316" s="3"/>
      <c r="C316" s="4"/>
      <c r="D316" s="4"/>
      <c r="E316" s="5"/>
      <c r="F316" s="6"/>
      <c r="N316" s="7"/>
      <c r="W316" s="4"/>
      <c r="X316" s="4"/>
      <c r="Z316" s="7"/>
      <c r="AA316" s="4"/>
      <c r="AB316" s="3"/>
      <c r="AC316" s="3"/>
      <c r="AD316" s="3"/>
      <c r="AE316" s="3"/>
      <c r="AF316" s="3"/>
      <c r="AG316" s="3"/>
    </row>
    <row r="317" customFormat="false" ht="15.75" hidden="false" customHeight="false" outlineLevel="0" collapsed="false">
      <c r="A317" s="3"/>
      <c r="B317" s="3"/>
      <c r="C317" s="4"/>
      <c r="D317" s="4"/>
      <c r="E317" s="5"/>
      <c r="F317" s="6"/>
      <c r="N317" s="7"/>
      <c r="W317" s="4"/>
      <c r="X317" s="4"/>
      <c r="Z317" s="7"/>
      <c r="AA317" s="4"/>
      <c r="AB317" s="3"/>
      <c r="AC317" s="3"/>
      <c r="AD317" s="3"/>
      <c r="AE317" s="3"/>
      <c r="AF317" s="3"/>
      <c r="AG317" s="3"/>
    </row>
    <row r="318" customFormat="false" ht="15.75" hidden="false" customHeight="false" outlineLevel="0" collapsed="false">
      <c r="A318" s="3"/>
      <c r="B318" s="3"/>
      <c r="C318" s="4"/>
      <c r="D318" s="4"/>
      <c r="E318" s="5"/>
      <c r="F318" s="6"/>
      <c r="N318" s="7"/>
      <c r="W318" s="4"/>
      <c r="X318" s="4"/>
      <c r="Z318" s="7"/>
      <c r="AA318" s="4"/>
      <c r="AB318" s="3"/>
      <c r="AC318" s="3"/>
      <c r="AD318" s="3"/>
      <c r="AE318" s="3"/>
      <c r="AF318" s="3"/>
      <c r="AG318" s="3"/>
    </row>
    <row r="319" customFormat="false" ht="15.75" hidden="false" customHeight="false" outlineLevel="0" collapsed="false">
      <c r="A319" s="3"/>
      <c r="B319" s="3"/>
      <c r="C319" s="4"/>
      <c r="D319" s="4"/>
      <c r="E319" s="5"/>
      <c r="F319" s="6"/>
      <c r="N319" s="7"/>
      <c r="W319" s="4"/>
      <c r="X319" s="4"/>
      <c r="Z319" s="7"/>
      <c r="AA319" s="4"/>
      <c r="AB319" s="3"/>
      <c r="AC319" s="3"/>
      <c r="AD319" s="3"/>
      <c r="AE319" s="3"/>
      <c r="AF319" s="3"/>
      <c r="AG319" s="3"/>
    </row>
    <row r="320" customFormat="false" ht="15.75" hidden="false" customHeight="false" outlineLevel="0" collapsed="false">
      <c r="A320" s="3"/>
      <c r="B320" s="3"/>
      <c r="C320" s="4"/>
      <c r="D320" s="4"/>
      <c r="E320" s="5"/>
      <c r="F320" s="6"/>
      <c r="N320" s="7"/>
      <c r="W320" s="4"/>
      <c r="X320" s="4"/>
      <c r="Z320" s="7"/>
      <c r="AA320" s="4"/>
      <c r="AB320" s="3"/>
      <c r="AC320" s="3"/>
      <c r="AD320" s="3"/>
      <c r="AE320" s="3"/>
      <c r="AF320" s="3"/>
      <c r="AG320" s="3"/>
    </row>
    <row r="321" customFormat="false" ht="15.75" hidden="false" customHeight="false" outlineLevel="0" collapsed="false">
      <c r="A321" s="3"/>
      <c r="B321" s="3"/>
      <c r="C321" s="4"/>
      <c r="D321" s="4"/>
      <c r="E321" s="5"/>
      <c r="F321" s="6"/>
      <c r="N321" s="7"/>
      <c r="W321" s="4"/>
      <c r="X321" s="4"/>
      <c r="Z321" s="7"/>
      <c r="AA321" s="4"/>
      <c r="AB321" s="3"/>
      <c r="AC321" s="3"/>
      <c r="AD321" s="3"/>
      <c r="AE321" s="3"/>
      <c r="AF321" s="3"/>
      <c r="AG321" s="3"/>
    </row>
    <row r="322" customFormat="false" ht="15.75" hidden="false" customHeight="false" outlineLevel="0" collapsed="false">
      <c r="A322" s="3"/>
      <c r="B322" s="3"/>
      <c r="C322" s="4"/>
      <c r="D322" s="4"/>
      <c r="E322" s="5"/>
      <c r="F322" s="6"/>
      <c r="N322" s="7"/>
      <c r="W322" s="4"/>
      <c r="X322" s="4"/>
      <c r="Z322" s="7"/>
      <c r="AA322" s="4"/>
      <c r="AB322" s="3"/>
      <c r="AC322" s="3"/>
      <c r="AD322" s="3"/>
      <c r="AE322" s="3"/>
      <c r="AF322" s="3"/>
      <c r="AG322" s="3"/>
    </row>
    <row r="323" customFormat="false" ht="15.75" hidden="false" customHeight="false" outlineLevel="0" collapsed="false">
      <c r="A323" s="3"/>
      <c r="B323" s="3"/>
      <c r="C323" s="4"/>
      <c r="D323" s="4"/>
      <c r="E323" s="5"/>
      <c r="F323" s="6"/>
      <c r="N323" s="7"/>
      <c r="W323" s="4"/>
      <c r="X323" s="4"/>
      <c r="Z323" s="7"/>
      <c r="AA323" s="4"/>
      <c r="AB323" s="3"/>
      <c r="AC323" s="3"/>
      <c r="AD323" s="3"/>
      <c r="AE323" s="3"/>
      <c r="AF323" s="3"/>
      <c r="AG323" s="3"/>
    </row>
    <row r="324" customFormat="false" ht="15.75" hidden="false" customHeight="false" outlineLevel="0" collapsed="false">
      <c r="A324" s="3"/>
      <c r="B324" s="3"/>
      <c r="C324" s="4"/>
      <c r="D324" s="4"/>
      <c r="E324" s="5"/>
      <c r="F324" s="6"/>
      <c r="N324" s="7"/>
      <c r="W324" s="4"/>
      <c r="X324" s="4"/>
      <c r="Z324" s="7"/>
      <c r="AA324" s="4"/>
      <c r="AB324" s="3"/>
      <c r="AC324" s="3"/>
      <c r="AD324" s="3"/>
      <c r="AE324" s="3"/>
      <c r="AF324" s="3"/>
      <c r="AG324" s="3"/>
    </row>
    <row r="325" customFormat="false" ht="15.75" hidden="false" customHeight="false" outlineLevel="0" collapsed="false">
      <c r="A325" s="3"/>
      <c r="B325" s="3"/>
      <c r="C325" s="4"/>
      <c r="D325" s="4"/>
      <c r="E325" s="5"/>
      <c r="F325" s="6"/>
      <c r="N325" s="7"/>
      <c r="W325" s="4"/>
      <c r="X325" s="4"/>
      <c r="Z325" s="7"/>
      <c r="AA325" s="4"/>
      <c r="AB325" s="3"/>
      <c r="AC325" s="3"/>
      <c r="AD325" s="3"/>
      <c r="AE325" s="3"/>
      <c r="AF325" s="3"/>
      <c r="AG325" s="3"/>
    </row>
    <row r="326" customFormat="false" ht="15.75" hidden="false" customHeight="false" outlineLevel="0" collapsed="false">
      <c r="A326" s="3"/>
      <c r="B326" s="3"/>
      <c r="C326" s="4"/>
      <c r="D326" s="4"/>
      <c r="E326" s="5"/>
      <c r="F326" s="6"/>
      <c r="N326" s="7"/>
      <c r="W326" s="4"/>
      <c r="X326" s="4"/>
      <c r="Z326" s="7"/>
      <c r="AA326" s="4"/>
      <c r="AB326" s="3"/>
      <c r="AC326" s="3"/>
      <c r="AD326" s="3"/>
      <c r="AE326" s="3"/>
      <c r="AF326" s="3"/>
      <c r="AG326" s="3"/>
    </row>
    <row r="327" customFormat="false" ht="15.75" hidden="false" customHeight="false" outlineLevel="0" collapsed="false">
      <c r="A327" s="3"/>
      <c r="B327" s="3"/>
      <c r="C327" s="4"/>
      <c r="D327" s="4"/>
      <c r="E327" s="5"/>
      <c r="F327" s="6"/>
      <c r="N327" s="7"/>
      <c r="W327" s="4"/>
      <c r="X327" s="4"/>
      <c r="Z327" s="7"/>
      <c r="AA327" s="4"/>
      <c r="AB327" s="3"/>
      <c r="AC327" s="3"/>
      <c r="AD327" s="3"/>
      <c r="AE327" s="3"/>
      <c r="AF327" s="3"/>
      <c r="AG327" s="3"/>
    </row>
    <row r="328" customFormat="false" ht="15.75" hidden="false" customHeight="false" outlineLevel="0" collapsed="false">
      <c r="A328" s="3"/>
      <c r="B328" s="3"/>
      <c r="C328" s="4"/>
      <c r="D328" s="4"/>
      <c r="E328" s="5"/>
      <c r="F328" s="6"/>
      <c r="N328" s="7"/>
      <c r="W328" s="4"/>
      <c r="X328" s="4"/>
      <c r="Z328" s="7"/>
      <c r="AA328" s="4"/>
      <c r="AB328" s="3"/>
      <c r="AC328" s="3"/>
      <c r="AD328" s="3"/>
      <c r="AE328" s="3"/>
      <c r="AF328" s="3"/>
      <c r="AG328" s="3"/>
    </row>
    <row r="329" customFormat="false" ht="15.75" hidden="false" customHeight="false" outlineLevel="0" collapsed="false">
      <c r="A329" s="3"/>
      <c r="B329" s="3"/>
      <c r="C329" s="4"/>
      <c r="D329" s="4"/>
      <c r="E329" s="5"/>
      <c r="F329" s="6"/>
      <c r="N329" s="7"/>
      <c r="W329" s="4"/>
      <c r="X329" s="4"/>
      <c r="Z329" s="7"/>
      <c r="AA329" s="4"/>
      <c r="AB329" s="3"/>
      <c r="AC329" s="3"/>
      <c r="AD329" s="3"/>
      <c r="AE329" s="3"/>
      <c r="AF329" s="3"/>
      <c r="AG329" s="3"/>
    </row>
    <row r="330" customFormat="false" ht="15.75" hidden="false" customHeight="false" outlineLevel="0" collapsed="false">
      <c r="A330" s="3"/>
      <c r="B330" s="3"/>
      <c r="C330" s="4"/>
      <c r="D330" s="4"/>
      <c r="E330" s="5"/>
      <c r="F330" s="6"/>
      <c r="N330" s="7"/>
      <c r="W330" s="4"/>
      <c r="X330" s="4"/>
      <c r="Z330" s="7"/>
      <c r="AA330" s="4"/>
      <c r="AB330" s="3"/>
      <c r="AC330" s="3"/>
      <c r="AD330" s="3"/>
      <c r="AE330" s="3"/>
      <c r="AF330" s="3"/>
      <c r="AG330" s="3"/>
    </row>
    <row r="331" customFormat="false" ht="15.75" hidden="false" customHeight="false" outlineLevel="0" collapsed="false">
      <c r="A331" s="3"/>
      <c r="B331" s="3"/>
      <c r="C331" s="4"/>
      <c r="D331" s="4"/>
      <c r="E331" s="5"/>
      <c r="F331" s="6"/>
      <c r="N331" s="7"/>
      <c r="W331" s="4"/>
      <c r="X331" s="4"/>
      <c r="Z331" s="7"/>
      <c r="AA331" s="4"/>
      <c r="AB331" s="3"/>
      <c r="AC331" s="3"/>
      <c r="AD331" s="3"/>
      <c r="AE331" s="3"/>
      <c r="AF331" s="3"/>
      <c r="AG331" s="3"/>
    </row>
    <row r="332" customFormat="false" ht="15.75" hidden="false" customHeight="false" outlineLevel="0" collapsed="false">
      <c r="A332" s="3"/>
      <c r="B332" s="3"/>
      <c r="C332" s="4"/>
      <c r="D332" s="4"/>
      <c r="E332" s="5"/>
      <c r="F332" s="6"/>
      <c r="N332" s="7"/>
      <c r="W332" s="4"/>
      <c r="X332" s="4"/>
      <c r="Z332" s="7"/>
      <c r="AA332" s="4"/>
      <c r="AB332" s="3"/>
      <c r="AC332" s="3"/>
      <c r="AD332" s="3"/>
      <c r="AE332" s="3"/>
      <c r="AF332" s="3"/>
      <c r="AG332" s="3"/>
    </row>
    <row r="333" customFormat="false" ht="15.75" hidden="false" customHeight="false" outlineLevel="0" collapsed="false">
      <c r="A333" s="3"/>
      <c r="B333" s="3"/>
      <c r="C333" s="4"/>
      <c r="D333" s="4"/>
      <c r="E333" s="5"/>
      <c r="F333" s="6"/>
      <c r="N333" s="7"/>
      <c r="W333" s="4"/>
      <c r="X333" s="4"/>
      <c r="Z333" s="7"/>
      <c r="AA333" s="4"/>
      <c r="AB333" s="3"/>
      <c r="AC333" s="3"/>
      <c r="AD333" s="3"/>
      <c r="AE333" s="3"/>
      <c r="AF333" s="3"/>
      <c r="AG333" s="3"/>
    </row>
    <row r="334" customFormat="false" ht="15.75" hidden="false" customHeight="false" outlineLevel="0" collapsed="false">
      <c r="A334" s="3"/>
      <c r="B334" s="3"/>
      <c r="C334" s="4"/>
      <c r="D334" s="4"/>
      <c r="E334" s="5"/>
      <c r="F334" s="6"/>
      <c r="N334" s="7"/>
      <c r="W334" s="4"/>
      <c r="X334" s="4"/>
      <c r="Z334" s="7"/>
      <c r="AA334" s="4"/>
      <c r="AB334" s="3"/>
      <c r="AC334" s="3"/>
      <c r="AD334" s="3"/>
      <c r="AE334" s="3"/>
      <c r="AF334" s="3"/>
      <c r="AG334" s="3"/>
    </row>
    <row r="335" customFormat="false" ht="15.75" hidden="false" customHeight="false" outlineLevel="0" collapsed="false">
      <c r="A335" s="3"/>
      <c r="B335" s="3"/>
      <c r="C335" s="4"/>
      <c r="D335" s="4"/>
      <c r="E335" s="5"/>
      <c r="F335" s="6"/>
      <c r="N335" s="7"/>
      <c r="W335" s="4"/>
      <c r="X335" s="4"/>
      <c r="Z335" s="7"/>
      <c r="AA335" s="4"/>
      <c r="AB335" s="3"/>
      <c r="AC335" s="3"/>
      <c r="AD335" s="3"/>
      <c r="AE335" s="3"/>
      <c r="AF335" s="3"/>
      <c r="AG335" s="3"/>
    </row>
    <row r="336" customFormat="false" ht="15.75" hidden="false" customHeight="false" outlineLevel="0" collapsed="false">
      <c r="A336" s="3"/>
      <c r="B336" s="3"/>
      <c r="C336" s="4"/>
      <c r="D336" s="4"/>
      <c r="E336" s="5"/>
      <c r="F336" s="6"/>
      <c r="N336" s="7"/>
      <c r="W336" s="4"/>
      <c r="X336" s="4"/>
      <c r="Z336" s="7"/>
      <c r="AA336" s="4"/>
      <c r="AB336" s="3"/>
      <c r="AC336" s="3"/>
      <c r="AD336" s="3"/>
      <c r="AE336" s="3"/>
      <c r="AF336" s="3"/>
      <c r="AG336" s="3"/>
    </row>
    <row r="337" customFormat="false" ht="15.75" hidden="false" customHeight="false" outlineLevel="0" collapsed="false">
      <c r="A337" s="3"/>
      <c r="B337" s="3"/>
      <c r="C337" s="4"/>
      <c r="D337" s="4"/>
      <c r="E337" s="5"/>
      <c r="F337" s="6"/>
      <c r="N337" s="7"/>
      <c r="W337" s="4"/>
      <c r="X337" s="4"/>
      <c r="Z337" s="7"/>
      <c r="AA337" s="4"/>
      <c r="AB337" s="3"/>
      <c r="AC337" s="3"/>
      <c r="AD337" s="3"/>
      <c r="AE337" s="3"/>
      <c r="AF337" s="3"/>
      <c r="AG337" s="3"/>
    </row>
    <row r="338" customFormat="false" ht="15.75" hidden="false" customHeight="false" outlineLevel="0" collapsed="false">
      <c r="A338" s="3"/>
      <c r="B338" s="3"/>
      <c r="C338" s="4"/>
      <c r="D338" s="4"/>
      <c r="E338" s="5"/>
      <c r="F338" s="6"/>
      <c r="N338" s="7"/>
      <c r="W338" s="4"/>
      <c r="X338" s="4"/>
      <c r="Z338" s="7"/>
      <c r="AA338" s="4"/>
      <c r="AB338" s="3"/>
      <c r="AC338" s="3"/>
      <c r="AD338" s="3"/>
      <c r="AE338" s="3"/>
      <c r="AF338" s="3"/>
      <c r="AG338" s="3"/>
    </row>
    <row r="339" customFormat="false" ht="15.75" hidden="false" customHeight="false" outlineLevel="0" collapsed="false">
      <c r="A339" s="3"/>
      <c r="B339" s="3"/>
      <c r="C339" s="4"/>
      <c r="D339" s="4"/>
      <c r="E339" s="5"/>
      <c r="F339" s="6"/>
      <c r="N339" s="7"/>
      <c r="W339" s="4"/>
      <c r="X339" s="4"/>
      <c r="Z339" s="7"/>
      <c r="AA339" s="4"/>
      <c r="AB339" s="3"/>
      <c r="AC339" s="3"/>
      <c r="AD339" s="3"/>
      <c r="AE339" s="3"/>
      <c r="AF339" s="3"/>
      <c r="AG339" s="3"/>
    </row>
    <row r="340" customFormat="false" ht="15.75" hidden="false" customHeight="false" outlineLevel="0" collapsed="false">
      <c r="A340" s="3"/>
      <c r="B340" s="3"/>
      <c r="C340" s="4"/>
      <c r="D340" s="4"/>
      <c r="E340" s="5"/>
      <c r="F340" s="6"/>
      <c r="N340" s="7"/>
      <c r="W340" s="4"/>
      <c r="X340" s="4"/>
      <c r="Z340" s="7"/>
      <c r="AA340" s="4"/>
      <c r="AB340" s="3"/>
      <c r="AC340" s="3"/>
      <c r="AD340" s="3"/>
      <c r="AE340" s="3"/>
      <c r="AF340" s="3"/>
      <c r="AG340" s="3"/>
    </row>
    <row r="341" customFormat="false" ht="15.75" hidden="false" customHeight="false" outlineLevel="0" collapsed="false">
      <c r="A341" s="3"/>
      <c r="B341" s="3"/>
      <c r="C341" s="4"/>
      <c r="D341" s="4"/>
      <c r="E341" s="5"/>
      <c r="F341" s="6"/>
      <c r="N341" s="7"/>
      <c r="W341" s="4"/>
      <c r="X341" s="4"/>
      <c r="Z341" s="7"/>
      <c r="AA341" s="4"/>
      <c r="AB341" s="3"/>
      <c r="AC341" s="3"/>
      <c r="AD341" s="3"/>
      <c r="AE341" s="3"/>
      <c r="AF341" s="3"/>
      <c r="AG341" s="3"/>
    </row>
    <row r="342" customFormat="false" ht="15.75" hidden="false" customHeight="false" outlineLevel="0" collapsed="false">
      <c r="A342" s="3"/>
      <c r="B342" s="3"/>
      <c r="C342" s="4"/>
      <c r="D342" s="4"/>
      <c r="E342" s="5"/>
      <c r="F342" s="6"/>
      <c r="N342" s="7"/>
      <c r="W342" s="4"/>
      <c r="X342" s="4"/>
      <c r="Z342" s="7"/>
      <c r="AA342" s="4"/>
      <c r="AB342" s="3"/>
      <c r="AC342" s="3"/>
      <c r="AD342" s="3"/>
      <c r="AE342" s="3"/>
      <c r="AF342" s="3"/>
      <c r="AG342" s="3"/>
    </row>
    <row r="343" customFormat="false" ht="15.75" hidden="false" customHeight="false" outlineLevel="0" collapsed="false">
      <c r="A343" s="3"/>
      <c r="B343" s="3"/>
      <c r="C343" s="4"/>
      <c r="D343" s="4"/>
      <c r="E343" s="5"/>
      <c r="F343" s="6"/>
      <c r="N343" s="7"/>
      <c r="W343" s="4"/>
      <c r="X343" s="4"/>
      <c r="Z343" s="7"/>
      <c r="AA343" s="4"/>
      <c r="AB343" s="3"/>
      <c r="AC343" s="3"/>
      <c r="AD343" s="3"/>
      <c r="AE343" s="3"/>
      <c r="AF343" s="3"/>
      <c r="AG343" s="3"/>
    </row>
    <row r="344" customFormat="false" ht="15.75" hidden="false" customHeight="false" outlineLevel="0" collapsed="false">
      <c r="A344" s="3"/>
      <c r="B344" s="3"/>
      <c r="C344" s="4"/>
      <c r="D344" s="4"/>
      <c r="E344" s="5"/>
      <c r="F344" s="6"/>
      <c r="N344" s="7"/>
      <c r="W344" s="4"/>
      <c r="X344" s="4"/>
      <c r="Z344" s="7"/>
      <c r="AA344" s="4"/>
      <c r="AB344" s="3"/>
      <c r="AC344" s="3"/>
      <c r="AD344" s="3"/>
      <c r="AE344" s="3"/>
      <c r="AF344" s="3"/>
      <c r="AG344" s="3"/>
    </row>
    <row r="345" customFormat="false" ht="15.75" hidden="false" customHeight="false" outlineLevel="0" collapsed="false">
      <c r="A345" s="3"/>
      <c r="B345" s="3"/>
      <c r="C345" s="4"/>
      <c r="D345" s="4"/>
      <c r="E345" s="5"/>
      <c r="F345" s="6"/>
      <c r="N345" s="7"/>
      <c r="W345" s="4"/>
      <c r="X345" s="4"/>
      <c r="Z345" s="7"/>
      <c r="AA345" s="4"/>
      <c r="AB345" s="3"/>
      <c r="AC345" s="3"/>
      <c r="AD345" s="3"/>
      <c r="AE345" s="3"/>
      <c r="AF345" s="3"/>
      <c r="AG345" s="3"/>
    </row>
    <row r="346" customFormat="false" ht="15.75" hidden="false" customHeight="false" outlineLevel="0" collapsed="false">
      <c r="A346" s="3"/>
      <c r="B346" s="3"/>
      <c r="C346" s="4"/>
      <c r="D346" s="4"/>
      <c r="E346" s="5"/>
      <c r="F346" s="6"/>
      <c r="N346" s="7"/>
      <c r="W346" s="4"/>
      <c r="X346" s="4"/>
      <c r="Z346" s="7"/>
      <c r="AA346" s="4"/>
      <c r="AB346" s="3"/>
      <c r="AC346" s="3"/>
      <c r="AD346" s="3"/>
      <c r="AE346" s="3"/>
      <c r="AF346" s="3"/>
      <c r="AG346" s="3"/>
    </row>
    <row r="347" customFormat="false" ht="15.75" hidden="false" customHeight="false" outlineLevel="0" collapsed="false">
      <c r="A347" s="3"/>
      <c r="B347" s="3"/>
      <c r="C347" s="4"/>
      <c r="D347" s="4"/>
      <c r="E347" s="5"/>
      <c r="F347" s="6"/>
      <c r="N347" s="7"/>
      <c r="W347" s="4"/>
      <c r="X347" s="4"/>
      <c r="Z347" s="7"/>
      <c r="AA347" s="4"/>
      <c r="AB347" s="3"/>
      <c r="AC347" s="3"/>
      <c r="AD347" s="3"/>
      <c r="AE347" s="3"/>
      <c r="AF347" s="3"/>
      <c r="AG347" s="3"/>
    </row>
    <row r="348" customFormat="false" ht="15.75" hidden="false" customHeight="false" outlineLevel="0" collapsed="false">
      <c r="A348" s="3"/>
      <c r="B348" s="3"/>
      <c r="C348" s="4"/>
      <c r="D348" s="4"/>
      <c r="E348" s="5"/>
      <c r="F348" s="6"/>
      <c r="N348" s="7"/>
      <c r="W348" s="4"/>
      <c r="X348" s="4"/>
      <c r="Z348" s="7"/>
      <c r="AA348" s="4"/>
      <c r="AB348" s="3"/>
      <c r="AC348" s="3"/>
      <c r="AD348" s="3"/>
      <c r="AE348" s="3"/>
      <c r="AF348" s="3"/>
      <c r="AG348" s="3"/>
    </row>
    <row r="349" customFormat="false" ht="15.75" hidden="false" customHeight="false" outlineLevel="0" collapsed="false">
      <c r="A349" s="3"/>
      <c r="B349" s="3"/>
      <c r="C349" s="4"/>
      <c r="D349" s="4"/>
      <c r="E349" s="5"/>
      <c r="F349" s="6"/>
      <c r="N349" s="7"/>
      <c r="W349" s="4"/>
      <c r="X349" s="4"/>
      <c r="Z349" s="7"/>
      <c r="AA349" s="4"/>
      <c r="AB349" s="3"/>
      <c r="AC349" s="3"/>
      <c r="AD349" s="3"/>
      <c r="AE349" s="3"/>
      <c r="AF349" s="3"/>
      <c r="AG349" s="3"/>
    </row>
    <row r="350" customFormat="false" ht="15.75" hidden="false" customHeight="false" outlineLevel="0" collapsed="false">
      <c r="A350" s="3"/>
      <c r="B350" s="3"/>
      <c r="C350" s="4"/>
      <c r="D350" s="4"/>
      <c r="E350" s="5"/>
      <c r="F350" s="6"/>
      <c r="N350" s="7"/>
      <c r="W350" s="4"/>
      <c r="X350" s="4"/>
      <c r="Z350" s="7"/>
      <c r="AA350" s="4"/>
      <c r="AB350" s="3"/>
      <c r="AC350" s="3"/>
      <c r="AD350" s="3"/>
      <c r="AE350" s="3"/>
      <c r="AF350" s="3"/>
      <c r="AG350" s="3"/>
    </row>
    <row r="351" customFormat="false" ht="15.75" hidden="false" customHeight="false" outlineLevel="0" collapsed="false">
      <c r="A351" s="3"/>
      <c r="B351" s="3"/>
      <c r="C351" s="4"/>
      <c r="D351" s="4"/>
      <c r="E351" s="5"/>
      <c r="F351" s="6"/>
      <c r="N351" s="7"/>
      <c r="W351" s="4"/>
      <c r="X351" s="4"/>
      <c r="Z351" s="7"/>
      <c r="AA351" s="4"/>
      <c r="AB351" s="3"/>
      <c r="AC351" s="3"/>
      <c r="AD351" s="3"/>
      <c r="AE351" s="3"/>
      <c r="AF351" s="3"/>
      <c r="AG351" s="3"/>
    </row>
    <row r="352" customFormat="false" ht="15.75" hidden="false" customHeight="false" outlineLevel="0" collapsed="false">
      <c r="A352" s="3"/>
      <c r="B352" s="3"/>
      <c r="C352" s="4"/>
      <c r="D352" s="4"/>
      <c r="E352" s="5"/>
      <c r="F352" s="6"/>
      <c r="N352" s="7"/>
      <c r="W352" s="4"/>
      <c r="X352" s="4"/>
      <c r="Z352" s="7"/>
      <c r="AA352" s="4"/>
      <c r="AB352" s="3"/>
      <c r="AC352" s="3"/>
      <c r="AD352" s="3"/>
      <c r="AE352" s="3"/>
      <c r="AF352" s="3"/>
      <c r="AG352" s="3"/>
    </row>
    <row r="353" customFormat="false" ht="15.75" hidden="false" customHeight="false" outlineLevel="0" collapsed="false">
      <c r="A353" s="3"/>
      <c r="B353" s="3"/>
      <c r="C353" s="4"/>
      <c r="D353" s="4"/>
      <c r="E353" s="5"/>
      <c r="F353" s="6"/>
      <c r="N353" s="7"/>
      <c r="W353" s="4"/>
      <c r="X353" s="4"/>
      <c r="Z353" s="7"/>
      <c r="AA353" s="4"/>
      <c r="AB353" s="3"/>
      <c r="AC353" s="3"/>
      <c r="AD353" s="3"/>
      <c r="AE353" s="3"/>
      <c r="AF353" s="3"/>
      <c r="AG353" s="3"/>
    </row>
    <row r="354" customFormat="false" ht="15.75" hidden="false" customHeight="false" outlineLevel="0" collapsed="false">
      <c r="A354" s="3"/>
      <c r="B354" s="3"/>
      <c r="C354" s="4"/>
      <c r="D354" s="4"/>
      <c r="E354" s="5"/>
      <c r="F354" s="6"/>
      <c r="N354" s="7"/>
      <c r="W354" s="4"/>
      <c r="X354" s="4"/>
      <c r="Z354" s="7"/>
      <c r="AA354" s="4"/>
      <c r="AB354" s="3"/>
      <c r="AC354" s="3"/>
      <c r="AD354" s="3"/>
      <c r="AE354" s="3"/>
      <c r="AF354" s="3"/>
      <c r="AG354" s="3"/>
    </row>
    <row r="355" customFormat="false" ht="15.75" hidden="false" customHeight="false" outlineLevel="0" collapsed="false">
      <c r="A355" s="3"/>
      <c r="B355" s="3"/>
      <c r="C355" s="4"/>
      <c r="D355" s="4"/>
      <c r="E355" s="5"/>
      <c r="F355" s="6"/>
      <c r="N355" s="7"/>
      <c r="W355" s="4"/>
      <c r="X355" s="4"/>
      <c r="Z355" s="7"/>
      <c r="AA355" s="4"/>
      <c r="AB355" s="3"/>
      <c r="AC355" s="3"/>
      <c r="AD355" s="3"/>
      <c r="AE355" s="3"/>
      <c r="AF355" s="3"/>
      <c r="AG355" s="3"/>
    </row>
    <row r="356" customFormat="false" ht="15.75" hidden="false" customHeight="false" outlineLevel="0" collapsed="false">
      <c r="A356" s="3"/>
      <c r="B356" s="3"/>
      <c r="C356" s="4"/>
      <c r="D356" s="4"/>
      <c r="E356" s="5"/>
      <c r="F356" s="6"/>
      <c r="N356" s="7"/>
      <c r="W356" s="4"/>
      <c r="X356" s="4"/>
      <c r="Z356" s="7"/>
      <c r="AA356" s="4"/>
      <c r="AB356" s="3"/>
      <c r="AC356" s="3"/>
      <c r="AD356" s="3"/>
      <c r="AE356" s="3"/>
      <c r="AF356" s="3"/>
      <c r="AG356" s="3"/>
    </row>
    <row r="357" customFormat="false" ht="15.75" hidden="false" customHeight="false" outlineLevel="0" collapsed="false">
      <c r="A357" s="3"/>
      <c r="B357" s="3"/>
      <c r="C357" s="4"/>
      <c r="D357" s="4"/>
      <c r="E357" s="5"/>
      <c r="F357" s="6"/>
      <c r="N357" s="7"/>
      <c r="W357" s="4"/>
      <c r="X357" s="4"/>
      <c r="Z357" s="7"/>
      <c r="AA357" s="4"/>
      <c r="AB357" s="3"/>
      <c r="AC357" s="3"/>
      <c r="AD357" s="3"/>
      <c r="AE357" s="3"/>
      <c r="AF357" s="3"/>
      <c r="AG357" s="3"/>
    </row>
    <row r="358" customFormat="false" ht="15.75" hidden="false" customHeight="false" outlineLevel="0" collapsed="false">
      <c r="A358" s="3"/>
      <c r="B358" s="3"/>
      <c r="C358" s="4"/>
      <c r="D358" s="4"/>
      <c r="E358" s="5"/>
      <c r="F358" s="6"/>
      <c r="N358" s="7"/>
      <c r="W358" s="4"/>
      <c r="X358" s="4"/>
      <c r="Z358" s="7"/>
      <c r="AA358" s="4"/>
      <c r="AB358" s="3"/>
      <c r="AC358" s="3"/>
      <c r="AD358" s="3"/>
      <c r="AE358" s="3"/>
      <c r="AF358" s="3"/>
      <c r="AG358" s="3"/>
    </row>
    <row r="359" customFormat="false" ht="15.75" hidden="false" customHeight="false" outlineLevel="0" collapsed="false">
      <c r="A359" s="3"/>
      <c r="B359" s="3"/>
      <c r="C359" s="4"/>
      <c r="D359" s="4"/>
      <c r="E359" s="5"/>
      <c r="F359" s="6"/>
      <c r="N359" s="7"/>
      <c r="W359" s="4"/>
      <c r="X359" s="4"/>
      <c r="Z359" s="7"/>
      <c r="AA359" s="4"/>
      <c r="AB359" s="3"/>
      <c r="AC359" s="3"/>
      <c r="AD359" s="3"/>
      <c r="AE359" s="3"/>
      <c r="AF359" s="3"/>
      <c r="AG359" s="3"/>
    </row>
    <row r="360" customFormat="false" ht="15.75" hidden="false" customHeight="false" outlineLevel="0" collapsed="false">
      <c r="A360" s="3"/>
      <c r="B360" s="3"/>
      <c r="C360" s="4"/>
      <c r="D360" s="4"/>
      <c r="E360" s="5"/>
      <c r="F360" s="6"/>
      <c r="N360" s="7"/>
      <c r="W360" s="4"/>
      <c r="X360" s="4"/>
      <c r="Z360" s="7"/>
      <c r="AA360" s="4"/>
      <c r="AB360" s="3"/>
      <c r="AC360" s="3"/>
      <c r="AD360" s="3"/>
      <c r="AE360" s="3"/>
      <c r="AF360" s="3"/>
      <c r="AG360" s="3"/>
    </row>
    <row r="361" customFormat="false" ht="15.75" hidden="false" customHeight="false" outlineLevel="0" collapsed="false">
      <c r="A361" s="3"/>
      <c r="B361" s="3"/>
      <c r="C361" s="4"/>
      <c r="D361" s="4"/>
      <c r="E361" s="5"/>
      <c r="F361" s="6"/>
      <c r="N361" s="7"/>
      <c r="W361" s="4"/>
      <c r="X361" s="4"/>
      <c r="Z361" s="7"/>
      <c r="AA361" s="4"/>
      <c r="AB361" s="3"/>
      <c r="AC361" s="3"/>
      <c r="AD361" s="3"/>
      <c r="AE361" s="3"/>
      <c r="AF361" s="3"/>
      <c r="AG361" s="3"/>
    </row>
    <row r="362" customFormat="false" ht="15.75" hidden="false" customHeight="false" outlineLevel="0" collapsed="false">
      <c r="A362" s="3"/>
      <c r="B362" s="3"/>
      <c r="C362" s="4"/>
      <c r="D362" s="4"/>
      <c r="E362" s="5"/>
      <c r="F362" s="6"/>
      <c r="N362" s="7"/>
      <c r="W362" s="4"/>
      <c r="X362" s="4"/>
      <c r="Z362" s="7"/>
      <c r="AA362" s="4"/>
      <c r="AB362" s="3"/>
      <c r="AC362" s="3"/>
      <c r="AD362" s="3"/>
      <c r="AE362" s="3"/>
      <c r="AF362" s="3"/>
      <c r="AG362" s="3"/>
    </row>
    <row r="363" customFormat="false" ht="15.75" hidden="false" customHeight="false" outlineLevel="0" collapsed="false">
      <c r="A363" s="3"/>
      <c r="B363" s="3"/>
      <c r="C363" s="4"/>
      <c r="D363" s="4"/>
      <c r="E363" s="5"/>
      <c r="F363" s="6"/>
      <c r="N363" s="7"/>
      <c r="W363" s="4"/>
      <c r="X363" s="4"/>
      <c r="Z363" s="7"/>
      <c r="AA363" s="4"/>
      <c r="AB363" s="3"/>
      <c r="AC363" s="3"/>
      <c r="AD363" s="3"/>
      <c r="AE363" s="3"/>
      <c r="AF363" s="3"/>
      <c r="AG363" s="3"/>
    </row>
    <row r="364" customFormat="false" ht="15.75" hidden="false" customHeight="false" outlineLevel="0" collapsed="false">
      <c r="A364" s="3"/>
      <c r="B364" s="3"/>
      <c r="C364" s="4"/>
      <c r="D364" s="4"/>
      <c r="E364" s="5"/>
      <c r="F364" s="6"/>
      <c r="N364" s="7"/>
      <c r="W364" s="4"/>
      <c r="X364" s="4"/>
      <c r="Z364" s="7"/>
      <c r="AA364" s="4"/>
      <c r="AB364" s="3"/>
      <c r="AC364" s="3"/>
      <c r="AD364" s="3"/>
      <c r="AE364" s="3"/>
      <c r="AF364" s="3"/>
      <c r="AG364" s="3"/>
    </row>
    <row r="365" customFormat="false" ht="15.75" hidden="false" customHeight="false" outlineLevel="0" collapsed="false">
      <c r="A365" s="3"/>
      <c r="B365" s="3"/>
      <c r="C365" s="4"/>
      <c r="D365" s="4"/>
      <c r="E365" s="5"/>
      <c r="F365" s="6"/>
      <c r="N365" s="7"/>
      <c r="W365" s="4"/>
      <c r="X365" s="4"/>
      <c r="Z365" s="7"/>
      <c r="AA365" s="4"/>
      <c r="AB365" s="3"/>
      <c r="AC365" s="3"/>
      <c r="AD365" s="3"/>
      <c r="AE365" s="3"/>
      <c r="AF365" s="3"/>
      <c r="AG365" s="3"/>
    </row>
    <row r="366" customFormat="false" ht="15.75" hidden="false" customHeight="false" outlineLevel="0" collapsed="false">
      <c r="A366" s="3"/>
      <c r="B366" s="3"/>
      <c r="C366" s="4"/>
      <c r="D366" s="4"/>
      <c r="E366" s="5"/>
      <c r="F366" s="6"/>
      <c r="N366" s="7"/>
      <c r="W366" s="4"/>
      <c r="X366" s="4"/>
      <c r="Z366" s="7"/>
      <c r="AA366" s="4"/>
      <c r="AB366" s="3"/>
      <c r="AC366" s="3"/>
      <c r="AD366" s="3"/>
      <c r="AE366" s="3"/>
      <c r="AF366" s="3"/>
      <c r="AG366" s="3"/>
    </row>
    <row r="367" customFormat="false" ht="15.75" hidden="false" customHeight="false" outlineLevel="0" collapsed="false">
      <c r="A367" s="3"/>
      <c r="B367" s="3"/>
      <c r="C367" s="4"/>
      <c r="D367" s="4"/>
      <c r="E367" s="5"/>
      <c r="F367" s="6"/>
      <c r="N367" s="7"/>
      <c r="W367" s="4"/>
      <c r="X367" s="4"/>
      <c r="Z367" s="7"/>
      <c r="AA367" s="4"/>
      <c r="AB367" s="3"/>
      <c r="AC367" s="3"/>
      <c r="AD367" s="3"/>
      <c r="AE367" s="3"/>
      <c r="AF367" s="3"/>
      <c r="AG367" s="3"/>
    </row>
    <row r="368" customFormat="false" ht="15.75" hidden="false" customHeight="false" outlineLevel="0" collapsed="false">
      <c r="A368" s="3"/>
      <c r="B368" s="3"/>
      <c r="C368" s="4"/>
      <c r="D368" s="4"/>
      <c r="E368" s="5"/>
      <c r="F368" s="6"/>
      <c r="N368" s="7"/>
      <c r="W368" s="4"/>
      <c r="X368" s="4"/>
      <c r="Z368" s="7"/>
      <c r="AA368" s="4"/>
      <c r="AB368" s="3"/>
      <c r="AC368" s="3"/>
      <c r="AD368" s="3"/>
      <c r="AE368" s="3"/>
      <c r="AF368" s="3"/>
      <c r="AG368" s="3"/>
    </row>
    <row r="369" customFormat="false" ht="15.75" hidden="false" customHeight="false" outlineLevel="0" collapsed="false">
      <c r="A369" s="3"/>
      <c r="B369" s="3"/>
      <c r="C369" s="4"/>
      <c r="D369" s="4"/>
      <c r="E369" s="5"/>
      <c r="F369" s="6"/>
      <c r="N369" s="7"/>
      <c r="W369" s="4"/>
      <c r="X369" s="4"/>
      <c r="Z369" s="7"/>
      <c r="AA369" s="4"/>
      <c r="AB369" s="3"/>
      <c r="AC369" s="3"/>
      <c r="AD369" s="3"/>
      <c r="AE369" s="3"/>
      <c r="AF369" s="3"/>
      <c r="AG369" s="3"/>
    </row>
    <row r="370" customFormat="false" ht="15.75" hidden="false" customHeight="false" outlineLevel="0" collapsed="false">
      <c r="A370" s="3"/>
      <c r="B370" s="3"/>
      <c r="C370" s="4"/>
      <c r="D370" s="4"/>
      <c r="E370" s="5"/>
      <c r="F370" s="6"/>
      <c r="N370" s="7"/>
      <c r="W370" s="4"/>
      <c r="X370" s="4"/>
      <c r="Z370" s="7"/>
      <c r="AA370" s="4"/>
      <c r="AB370" s="3"/>
      <c r="AC370" s="3"/>
      <c r="AD370" s="3"/>
      <c r="AE370" s="3"/>
      <c r="AF370" s="3"/>
      <c r="AG370" s="3"/>
    </row>
    <row r="371" customFormat="false" ht="15.75" hidden="false" customHeight="false" outlineLevel="0" collapsed="false">
      <c r="A371" s="3"/>
      <c r="B371" s="3"/>
      <c r="C371" s="4"/>
      <c r="D371" s="4"/>
      <c r="E371" s="5"/>
      <c r="F371" s="6"/>
      <c r="N371" s="7"/>
      <c r="W371" s="4"/>
      <c r="X371" s="4"/>
      <c r="Z371" s="7"/>
      <c r="AA371" s="4"/>
      <c r="AB371" s="3"/>
      <c r="AC371" s="3"/>
      <c r="AD371" s="3"/>
      <c r="AE371" s="3"/>
      <c r="AF371" s="3"/>
      <c r="AG371" s="3"/>
    </row>
    <row r="372" customFormat="false" ht="15.75" hidden="false" customHeight="false" outlineLevel="0" collapsed="false">
      <c r="A372" s="3"/>
      <c r="B372" s="3"/>
      <c r="C372" s="4"/>
      <c r="D372" s="4"/>
      <c r="E372" s="5"/>
      <c r="F372" s="6"/>
      <c r="N372" s="7"/>
      <c r="W372" s="4"/>
      <c r="X372" s="4"/>
      <c r="Z372" s="7"/>
      <c r="AA372" s="4"/>
      <c r="AB372" s="3"/>
      <c r="AC372" s="3"/>
      <c r="AD372" s="3"/>
      <c r="AE372" s="3"/>
      <c r="AF372" s="3"/>
      <c r="AG372" s="3"/>
    </row>
    <row r="373" customFormat="false" ht="15.75" hidden="false" customHeight="false" outlineLevel="0" collapsed="false">
      <c r="A373" s="3"/>
      <c r="B373" s="3"/>
      <c r="C373" s="4"/>
      <c r="D373" s="4"/>
      <c r="E373" s="5"/>
      <c r="F373" s="6"/>
      <c r="N373" s="7"/>
      <c r="W373" s="4"/>
      <c r="X373" s="4"/>
      <c r="Z373" s="7"/>
      <c r="AA373" s="4"/>
      <c r="AB373" s="3"/>
      <c r="AC373" s="3"/>
      <c r="AD373" s="3"/>
      <c r="AE373" s="3"/>
      <c r="AF373" s="3"/>
      <c r="AG373" s="3"/>
    </row>
    <row r="374" customFormat="false" ht="15.75" hidden="false" customHeight="false" outlineLevel="0" collapsed="false">
      <c r="A374" s="3"/>
      <c r="B374" s="3"/>
      <c r="C374" s="4"/>
      <c r="D374" s="4"/>
      <c r="E374" s="5"/>
      <c r="F374" s="6"/>
      <c r="N374" s="7"/>
      <c r="W374" s="4"/>
      <c r="X374" s="4"/>
      <c r="Z374" s="7"/>
      <c r="AA374" s="4"/>
      <c r="AB374" s="3"/>
      <c r="AC374" s="3"/>
      <c r="AD374" s="3"/>
      <c r="AE374" s="3"/>
      <c r="AF374" s="3"/>
      <c r="AG374" s="3"/>
    </row>
    <row r="375" customFormat="false" ht="15.75" hidden="false" customHeight="false" outlineLevel="0" collapsed="false">
      <c r="A375" s="3"/>
      <c r="B375" s="3"/>
      <c r="C375" s="4"/>
      <c r="D375" s="4"/>
      <c r="E375" s="5"/>
      <c r="F375" s="6"/>
      <c r="N375" s="7"/>
      <c r="W375" s="4"/>
      <c r="X375" s="4"/>
      <c r="Z375" s="7"/>
      <c r="AA375" s="4"/>
      <c r="AB375" s="3"/>
      <c r="AC375" s="3"/>
      <c r="AD375" s="3"/>
      <c r="AE375" s="3"/>
      <c r="AF375" s="3"/>
      <c r="AG375" s="3"/>
    </row>
    <row r="376" customFormat="false" ht="15.75" hidden="false" customHeight="false" outlineLevel="0" collapsed="false">
      <c r="A376" s="3"/>
      <c r="B376" s="3"/>
      <c r="C376" s="4"/>
      <c r="D376" s="4"/>
      <c r="E376" s="5"/>
      <c r="F376" s="6"/>
      <c r="N376" s="7"/>
      <c r="W376" s="4"/>
      <c r="X376" s="4"/>
      <c r="Z376" s="7"/>
      <c r="AA376" s="4"/>
      <c r="AB376" s="3"/>
      <c r="AC376" s="3"/>
      <c r="AD376" s="3"/>
      <c r="AE376" s="3"/>
      <c r="AF376" s="3"/>
      <c r="AG376" s="3"/>
    </row>
    <row r="377" customFormat="false" ht="15.75" hidden="false" customHeight="false" outlineLevel="0" collapsed="false">
      <c r="A377" s="3"/>
      <c r="B377" s="3"/>
      <c r="C377" s="4"/>
      <c r="D377" s="4"/>
      <c r="E377" s="5"/>
      <c r="F377" s="6"/>
      <c r="N377" s="7"/>
      <c r="W377" s="4"/>
      <c r="X377" s="4"/>
      <c r="Z377" s="7"/>
      <c r="AA377" s="4"/>
      <c r="AB377" s="3"/>
      <c r="AC377" s="3"/>
      <c r="AD377" s="3"/>
      <c r="AE377" s="3"/>
      <c r="AF377" s="3"/>
      <c r="AG377" s="3"/>
    </row>
    <row r="378" customFormat="false" ht="15.75" hidden="false" customHeight="false" outlineLevel="0" collapsed="false">
      <c r="A378" s="3"/>
      <c r="B378" s="3"/>
      <c r="C378" s="4"/>
      <c r="D378" s="4"/>
      <c r="E378" s="5"/>
      <c r="F378" s="6"/>
      <c r="N378" s="7"/>
      <c r="W378" s="4"/>
      <c r="X378" s="4"/>
      <c r="Z378" s="7"/>
      <c r="AA378" s="4"/>
      <c r="AB378" s="3"/>
      <c r="AC378" s="3"/>
      <c r="AD378" s="3"/>
      <c r="AE378" s="3"/>
      <c r="AF378" s="3"/>
      <c r="AG378" s="3"/>
    </row>
    <row r="379" customFormat="false" ht="15.75" hidden="false" customHeight="false" outlineLevel="0" collapsed="false">
      <c r="A379" s="3"/>
      <c r="B379" s="3"/>
      <c r="C379" s="4"/>
      <c r="D379" s="4"/>
      <c r="E379" s="5"/>
      <c r="F379" s="6"/>
      <c r="N379" s="7"/>
      <c r="W379" s="4"/>
      <c r="X379" s="4"/>
      <c r="Z379" s="7"/>
      <c r="AA379" s="4"/>
      <c r="AB379" s="3"/>
      <c r="AC379" s="3"/>
      <c r="AD379" s="3"/>
      <c r="AE379" s="3"/>
      <c r="AF379" s="3"/>
      <c r="AG379" s="3"/>
    </row>
    <row r="380" customFormat="false" ht="15.75" hidden="false" customHeight="false" outlineLevel="0" collapsed="false">
      <c r="A380" s="3"/>
      <c r="B380" s="3"/>
      <c r="C380" s="4"/>
      <c r="D380" s="4"/>
      <c r="E380" s="5"/>
      <c r="F380" s="6"/>
      <c r="N380" s="7"/>
      <c r="W380" s="4"/>
      <c r="X380" s="4"/>
      <c r="Z380" s="7"/>
      <c r="AA380" s="4"/>
      <c r="AB380" s="3"/>
      <c r="AC380" s="3"/>
      <c r="AD380" s="3"/>
      <c r="AE380" s="3"/>
      <c r="AF380" s="3"/>
      <c r="AG380" s="3"/>
    </row>
    <row r="381" customFormat="false" ht="15.75" hidden="false" customHeight="false" outlineLevel="0" collapsed="false">
      <c r="A381" s="3"/>
      <c r="B381" s="3"/>
      <c r="C381" s="4"/>
      <c r="D381" s="4"/>
      <c r="E381" s="5"/>
      <c r="F381" s="6"/>
      <c r="N381" s="7"/>
      <c r="W381" s="4"/>
      <c r="X381" s="4"/>
      <c r="Z381" s="7"/>
      <c r="AA381" s="4"/>
      <c r="AB381" s="3"/>
      <c r="AC381" s="3"/>
      <c r="AD381" s="3"/>
      <c r="AE381" s="3"/>
      <c r="AF381" s="3"/>
      <c r="AG381" s="3"/>
    </row>
    <row r="382" customFormat="false" ht="15.75" hidden="false" customHeight="false" outlineLevel="0" collapsed="false">
      <c r="A382" s="3"/>
      <c r="B382" s="3"/>
      <c r="C382" s="4"/>
      <c r="D382" s="4"/>
      <c r="E382" s="5"/>
      <c r="F382" s="6"/>
      <c r="N382" s="7"/>
      <c r="W382" s="4"/>
      <c r="X382" s="4"/>
      <c r="Z382" s="7"/>
      <c r="AA382" s="4"/>
      <c r="AB382" s="3"/>
      <c r="AC382" s="3"/>
      <c r="AD382" s="3"/>
      <c r="AE382" s="3"/>
      <c r="AF382" s="3"/>
      <c r="AG382" s="3"/>
    </row>
    <row r="383" customFormat="false" ht="15.75" hidden="false" customHeight="false" outlineLevel="0" collapsed="false">
      <c r="A383" s="3"/>
      <c r="B383" s="3"/>
      <c r="C383" s="4"/>
      <c r="D383" s="4"/>
      <c r="E383" s="5"/>
      <c r="F383" s="6"/>
      <c r="N383" s="7"/>
      <c r="W383" s="4"/>
      <c r="X383" s="4"/>
      <c r="Z383" s="7"/>
      <c r="AA383" s="4"/>
      <c r="AB383" s="3"/>
      <c r="AC383" s="3"/>
      <c r="AD383" s="3"/>
      <c r="AE383" s="3"/>
      <c r="AF383" s="3"/>
      <c r="AG383" s="3"/>
    </row>
    <row r="384" customFormat="false" ht="15.75" hidden="false" customHeight="false" outlineLevel="0" collapsed="false">
      <c r="A384" s="3"/>
      <c r="B384" s="3"/>
      <c r="C384" s="4"/>
      <c r="D384" s="4"/>
      <c r="E384" s="5"/>
      <c r="F384" s="6"/>
      <c r="N384" s="7"/>
      <c r="W384" s="4"/>
      <c r="X384" s="4"/>
      <c r="Z384" s="7"/>
      <c r="AA384" s="4"/>
      <c r="AB384" s="3"/>
      <c r="AC384" s="3"/>
      <c r="AD384" s="3"/>
      <c r="AE384" s="3"/>
      <c r="AF384" s="3"/>
      <c r="AG384" s="3"/>
    </row>
    <row r="385" customFormat="false" ht="15.75" hidden="false" customHeight="false" outlineLevel="0" collapsed="false">
      <c r="A385" s="3"/>
      <c r="B385" s="3"/>
      <c r="C385" s="4"/>
      <c r="D385" s="4"/>
      <c r="E385" s="5"/>
      <c r="F385" s="6"/>
      <c r="N385" s="7"/>
      <c r="W385" s="4"/>
      <c r="X385" s="4"/>
      <c r="Z385" s="7"/>
      <c r="AA385" s="4"/>
      <c r="AB385" s="3"/>
      <c r="AC385" s="3"/>
      <c r="AD385" s="3"/>
      <c r="AE385" s="3"/>
      <c r="AF385" s="3"/>
      <c r="AG385" s="3"/>
    </row>
    <row r="386" customFormat="false" ht="15.75" hidden="false" customHeight="false" outlineLevel="0" collapsed="false">
      <c r="A386" s="3"/>
      <c r="B386" s="3"/>
      <c r="C386" s="4"/>
      <c r="D386" s="4"/>
      <c r="E386" s="5"/>
      <c r="F386" s="6"/>
      <c r="N386" s="7"/>
      <c r="W386" s="4"/>
      <c r="X386" s="4"/>
      <c r="Z386" s="7"/>
      <c r="AA386" s="4"/>
      <c r="AB386" s="3"/>
      <c r="AC386" s="3"/>
      <c r="AD386" s="3"/>
      <c r="AE386" s="3"/>
      <c r="AF386" s="3"/>
      <c r="AG386" s="3"/>
    </row>
    <row r="387" customFormat="false" ht="15.75" hidden="false" customHeight="false" outlineLevel="0" collapsed="false">
      <c r="A387" s="3"/>
      <c r="B387" s="3"/>
      <c r="C387" s="4"/>
      <c r="D387" s="4"/>
      <c r="E387" s="5"/>
      <c r="F387" s="6"/>
      <c r="N387" s="7"/>
      <c r="W387" s="4"/>
      <c r="X387" s="4"/>
      <c r="Z387" s="7"/>
      <c r="AA387" s="4"/>
      <c r="AB387" s="3"/>
      <c r="AC387" s="3"/>
      <c r="AD387" s="3"/>
      <c r="AE387" s="3"/>
      <c r="AF387" s="3"/>
      <c r="AG387" s="3"/>
    </row>
    <row r="388" customFormat="false" ht="15.75" hidden="false" customHeight="false" outlineLevel="0" collapsed="false">
      <c r="A388" s="3"/>
      <c r="B388" s="3"/>
      <c r="C388" s="4"/>
      <c r="D388" s="4"/>
      <c r="E388" s="5"/>
      <c r="F388" s="6"/>
      <c r="N388" s="7"/>
      <c r="W388" s="4"/>
      <c r="X388" s="4"/>
      <c r="Z388" s="7"/>
      <c r="AA388" s="4"/>
      <c r="AB388" s="3"/>
      <c r="AC388" s="3"/>
      <c r="AD388" s="3"/>
      <c r="AE388" s="3"/>
      <c r="AF388" s="3"/>
      <c r="AG388" s="3"/>
    </row>
    <row r="389" customFormat="false" ht="15.75" hidden="false" customHeight="false" outlineLevel="0" collapsed="false">
      <c r="A389" s="3"/>
      <c r="B389" s="3"/>
      <c r="C389" s="4"/>
      <c r="D389" s="4"/>
      <c r="E389" s="5"/>
      <c r="F389" s="6"/>
      <c r="N389" s="7"/>
      <c r="W389" s="4"/>
      <c r="X389" s="4"/>
      <c r="Z389" s="7"/>
      <c r="AA389" s="4"/>
      <c r="AB389" s="3"/>
      <c r="AC389" s="3"/>
      <c r="AD389" s="3"/>
      <c r="AE389" s="3"/>
      <c r="AF389" s="3"/>
      <c r="AG389" s="3"/>
    </row>
    <row r="390" customFormat="false" ht="15.75" hidden="false" customHeight="false" outlineLevel="0" collapsed="false">
      <c r="A390" s="3"/>
      <c r="B390" s="3"/>
      <c r="C390" s="4"/>
      <c r="D390" s="4"/>
      <c r="E390" s="5"/>
      <c r="F390" s="6"/>
      <c r="N390" s="7"/>
      <c r="W390" s="4"/>
      <c r="X390" s="4"/>
      <c r="Z390" s="7"/>
      <c r="AA390" s="4"/>
      <c r="AB390" s="3"/>
      <c r="AC390" s="3"/>
      <c r="AD390" s="3"/>
      <c r="AE390" s="3"/>
      <c r="AF390" s="3"/>
      <c r="AG390" s="3"/>
    </row>
    <row r="391" customFormat="false" ht="15.75" hidden="false" customHeight="false" outlineLevel="0" collapsed="false">
      <c r="A391" s="3"/>
      <c r="B391" s="3"/>
      <c r="C391" s="4"/>
      <c r="D391" s="4"/>
      <c r="E391" s="5"/>
      <c r="F391" s="6"/>
      <c r="N391" s="7"/>
      <c r="W391" s="4"/>
      <c r="X391" s="4"/>
      <c r="Z391" s="7"/>
      <c r="AA391" s="4"/>
      <c r="AB391" s="3"/>
      <c r="AC391" s="3"/>
      <c r="AD391" s="3"/>
      <c r="AE391" s="3"/>
      <c r="AF391" s="3"/>
      <c r="AG391" s="3"/>
    </row>
    <row r="392" customFormat="false" ht="15.75" hidden="false" customHeight="false" outlineLevel="0" collapsed="false">
      <c r="A392" s="3"/>
      <c r="B392" s="3"/>
      <c r="C392" s="4"/>
      <c r="D392" s="4"/>
      <c r="E392" s="5"/>
      <c r="F392" s="6"/>
      <c r="N392" s="7"/>
      <c r="W392" s="4"/>
      <c r="X392" s="4"/>
      <c r="Z392" s="7"/>
      <c r="AA392" s="4"/>
      <c r="AB392" s="3"/>
      <c r="AC392" s="3"/>
      <c r="AD392" s="3"/>
      <c r="AE392" s="3"/>
      <c r="AF392" s="3"/>
      <c r="AG392" s="3"/>
    </row>
    <row r="393" customFormat="false" ht="15.75" hidden="false" customHeight="false" outlineLevel="0" collapsed="false">
      <c r="A393" s="3"/>
      <c r="B393" s="3"/>
      <c r="C393" s="4"/>
      <c r="D393" s="4"/>
      <c r="E393" s="5"/>
      <c r="F393" s="6"/>
      <c r="N393" s="7"/>
      <c r="W393" s="4"/>
      <c r="X393" s="4"/>
      <c r="Z393" s="7"/>
      <c r="AA393" s="4"/>
      <c r="AB393" s="3"/>
      <c r="AC393" s="3"/>
      <c r="AD393" s="3"/>
      <c r="AE393" s="3"/>
      <c r="AF393" s="3"/>
      <c r="AG393" s="3"/>
    </row>
    <row r="394" customFormat="false" ht="15.75" hidden="false" customHeight="false" outlineLevel="0" collapsed="false">
      <c r="A394" s="3"/>
      <c r="B394" s="3"/>
      <c r="C394" s="4"/>
      <c r="D394" s="4"/>
      <c r="E394" s="5"/>
      <c r="F394" s="6"/>
      <c r="N394" s="7"/>
      <c r="W394" s="4"/>
      <c r="X394" s="4"/>
      <c r="Z394" s="7"/>
      <c r="AA394" s="4"/>
      <c r="AB394" s="3"/>
      <c r="AC394" s="3"/>
      <c r="AD394" s="3"/>
      <c r="AE394" s="3"/>
      <c r="AF394" s="3"/>
      <c r="AG394" s="3"/>
    </row>
    <row r="395" customFormat="false" ht="15.75" hidden="false" customHeight="false" outlineLevel="0" collapsed="false">
      <c r="A395" s="3"/>
      <c r="B395" s="3"/>
      <c r="C395" s="4"/>
      <c r="D395" s="4"/>
      <c r="E395" s="5"/>
      <c r="F395" s="6"/>
      <c r="N395" s="7"/>
      <c r="W395" s="4"/>
      <c r="X395" s="4"/>
      <c r="Z395" s="7"/>
      <c r="AA395" s="4"/>
      <c r="AB395" s="3"/>
      <c r="AC395" s="3"/>
      <c r="AD395" s="3"/>
      <c r="AE395" s="3"/>
      <c r="AF395" s="3"/>
      <c r="AG395" s="3"/>
    </row>
    <row r="396" customFormat="false" ht="15.75" hidden="false" customHeight="false" outlineLevel="0" collapsed="false">
      <c r="A396" s="3"/>
      <c r="B396" s="3"/>
      <c r="C396" s="4"/>
      <c r="D396" s="4"/>
      <c r="E396" s="5"/>
      <c r="F396" s="6"/>
      <c r="N396" s="7"/>
      <c r="W396" s="4"/>
      <c r="X396" s="4"/>
      <c r="Z396" s="7"/>
      <c r="AA396" s="4"/>
      <c r="AB396" s="3"/>
      <c r="AC396" s="3"/>
      <c r="AD396" s="3"/>
      <c r="AE396" s="3"/>
      <c r="AF396" s="3"/>
      <c r="AG396" s="3"/>
    </row>
    <row r="397" customFormat="false" ht="15.75" hidden="false" customHeight="false" outlineLevel="0" collapsed="false">
      <c r="A397" s="3"/>
      <c r="B397" s="3"/>
      <c r="C397" s="4"/>
      <c r="D397" s="4"/>
      <c r="E397" s="5"/>
      <c r="F397" s="6"/>
      <c r="N397" s="7"/>
      <c r="W397" s="4"/>
      <c r="X397" s="4"/>
      <c r="Z397" s="7"/>
      <c r="AA397" s="4"/>
      <c r="AB397" s="3"/>
      <c r="AC397" s="3"/>
      <c r="AD397" s="3"/>
      <c r="AE397" s="3"/>
      <c r="AF397" s="3"/>
      <c r="AG397" s="3"/>
    </row>
    <row r="398" customFormat="false" ht="15.75" hidden="false" customHeight="false" outlineLevel="0" collapsed="false">
      <c r="A398" s="3"/>
      <c r="B398" s="3"/>
      <c r="C398" s="4"/>
      <c r="D398" s="4"/>
      <c r="E398" s="5"/>
      <c r="F398" s="6"/>
      <c r="N398" s="7"/>
      <c r="W398" s="4"/>
      <c r="X398" s="4"/>
      <c r="Z398" s="7"/>
      <c r="AA398" s="4"/>
      <c r="AB398" s="3"/>
      <c r="AC398" s="3"/>
      <c r="AD398" s="3"/>
      <c r="AE398" s="3"/>
      <c r="AF398" s="3"/>
      <c r="AG398" s="3"/>
    </row>
    <row r="399" customFormat="false" ht="15.75" hidden="false" customHeight="false" outlineLevel="0" collapsed="false">
      <c r="A399" s="3"/>
      <c r="B399" s="3"/>
      <c r="C399" s="4"/>
      <c r="D399" s="4"/>
      <c r="E399" s="5"/>
      <c r="F399" s="6"/>
      <c r="N399" s="7"/>
      <c r="W399" s="4"/>
      <c r="X399" s="4"/>
      <c r="Z399" s="7"/>
      <c r="AA399" s="4"/>
      <c r="AB399" s="3"/>
      <c r="AC399" s="3"/>
      <c r="AD399" s="3"/>
      <c r="AE399" s="3"/>
      <c r="AF399" s="3"/>
      <c r="AG399" s="3"/>
    </row>
    <row r="400" customFormat="false" ht="15.75" hidden="false" customHeight="false" outlineLevel="0" collapsed="false">
      <c r="A400" s="3"/>
      <c r="B400" s="3"/>
      <c r="C400" s="4"/>
      <c r="D400" s="4"/>
      <c r="E400" s="5"/>
      <c r="F400" s="6"/>
      <c r="N400" s="7"/>
      <c r="W400" s="4"/>
      <c r="X400" s="4"/>
      <c r="Z400" s="7"/>
      <c r="AA400" s="4"/>
      <c r="AB400" s="3"/>
      <c r="AC400" s="3"/>
      <c r="AD400" s="3"/>
      <c r="AE400" s="3"/>
      <c r="AF400" s="3"/>
      <c r="AG400" s="3"/>
    </row>
    <row r="401" customFormat="false" ht="15.75" hidden="false" customHeight="false" outlineLevel="0" collapsed="false">
      <c r="A401" s="3"/>
      <c r="B401" s="3"/>
      <c r="C401" s="4"/>
      <c r="D401" s="4"/>
      <c r="E401" s="5"/>
      <c r="F401" s="6"/>
      <c r="N401" s="7"/>
      <c r="W401" s="4"/>
      <c r="X401" s="4"/>
      <c r="Z401" s="7"/>
      <c r="AA401" s="4"/>
      <c r="AB401" s="3"/>
      <c r="AC401" s="3"/>
      <c r="AD401" s="3"/>
      <c r="AE401" s="3"/>
      <c r="AF401" s="3"/>
      <c r="AG401" s="3"/>
    </row>
    <row r="402" customFormat="false" ht="15.75" hidden="false" customHeight="false" outlineLevel="0" collapsed="false">
      <c r="A402" s="3"/>
      <c r="B402" s="3"/>
      <c r="C402" s="4"/>
      <c r="D402" s="4"/>
      <c r="E402" s="5"/>
      <c r="F402" s="6"/>
      <c r="N402" s="7"/>
      <c r="W402" s="4"/>
      <c r="X402" s="4"/>
      <c r="Z402" s="7"/>
      <c r="AA402" s="4"/>
      <c r="AB402" s="3"/>
      <c r="AC402" s="3"/>
      <c r="AD402" s="3"/>
      <c r="AE402" s="3"/>
      <c r="AF402" s="3"/>
      <c r="AG402" s="3"/>
    </row>
    <row r="403" customFormat="false" ht="15.75" hidden="false" customHeight="false" outlineLevel="0" collapsed="false">
      <c r="A403" s="3"/>
      <c r="B403" s="3"/>
      <c r="C403" s="4"/>
      <c r="D403" s="4"/>
      <c r="E403" s="5"/>
      <c r="F403" s="6"/>
      <c r="N403" s="7"/>
      <c r="W403" s="4"/>
      <c r="X403" s="4"/>
      <c r="Z403" s="7"/>
      <c r="AA403" s="4"/>
      <c r="AB403" s="3"/>
      <c r="AC403" s="3"/>
      <c r="AD403" s="3"/>
      <c r="AE403" s="3"/>
      <c r="AF403" s="3"/>
      <c r="AG403" s="3"/>
    </row>
    <row r="404" customFormat="false" ht="15.75" hidden="false" customHeight="false" outlineLevel="0" collapsed="false">
      <c r="A404" s="3"/>
      <c r="B404" s="3"/>
      <c r="C404" s="4"/>
      <c r="D404" s="4"/>
      <c r="E404" s="5"/>
      <c r="F404" s="6"/>
      <c r="N404" s="7"/>
      <c r="W404" s="4"/>
      <c r="X404" s="4"/>
      <c r="Z404" s="7"/>
      <c r="AA404" s="4"/>
      <c r="AB404" s="3"/>
      <c r="AC404" s="3"/>
      <c r="AD404" s="3"/>
      <c r="AE404" s="3"/>
      <c r="AF404" s="3"/>
      <c r="AG404" s="3"/>
    </row>
    <row r="405" customFormat="false" ht="15.75" hidden="false" customHeight="false" outlineLevel="0" collapsed="false">
      <c r="A405" s="3"/>
      <c r="B405" s="3"/>
      <c r="C405" s="4"/>
      <c r="D405" s="4"/>
      <c r="E405" s="5"/>
      <c r="F405" s="6"/>
      <c r="N405" s="7"/>
      <c r="W405" s="4"/>
      <c r="X405" s="4"/>
      <c r="Z405" s="7"/>
      <c r="AA405" s="4"/>
      <c r="AB405" s="3"/>
      <c r="AC405" s="3"/>
      <c r="AD405" s="3"/>
      <c r="AE405" s="3"/>
      <c r="AF405" s="3"/>
      <c r="AG405" s="3"/>
    </row>
    <row r="406" customFormat="false" ht="15.75" hidden="false" customHeight="false" outlineLevel="0" collapsed="false">
      <c r="A406" s="3"/>
      <c r="B406" s="3"/>
      <c r="C406" s="4"/>
      <c r="D406" s="4"/>
      <c r="E406" s="5"/>
      <c r="F406" s="6"/>
      <c r="N406" s="7"/>
      <c r="W406" s="4"/>
      <c r="X406" s="4"/>
      <c r="Z406" s="7"/>
      <c r="AA406" s="4"/>
      <c r="AB406" s="3"/>
      <c r="AC406" s="3"/>
      <c r="AD406" s="3"/>
      <c r="AE406" s="3"/>
      <c r="AF406" s="3"/>
      <c r="AG406" s="3"/>
    </row>
    <row r="407" customFormat="false" ht="15.75" hidden="false" customHeight="false" outlineLevel="0" collapsed="false">
      <c r="A407" s="3"/>
      <c r="B407" s="3"/>
      <c r="C407" s="4"/>
      <c r="D407" s="4"/>
      <c r="E407" s="5"/>
      <c r="F407" s="6"/>
      <c r="N407" s="7"/>
      <c r="W407" s="4"/>
      <c r="X407" s="4"/>
      <c r="Z407" s="7"/>
      <c r="AA407" s="4"/>
      <c r="AB407" s="3"/>
      <c r="AC407" s="3"/>
      <c r="AD407" s="3"/>
      <c r="AE407" s="3"/>
      <c r="AF407" s="3"/>
      <c r="AG407" s="3"/>
    </row>
    <row r="408" customFormat="false" ht="15.75" hidden="false" customHeight="false" outlineLevel="0" collapsed="false">
      <c r="A408" s="3"/>
      <c r="B408" s="3"/>
      <c r="C408" s="4"/>
      <c r="D408" s="4"/>
      <c r="E408" s="5"/>
      <c r="F408" s="6"/>
      <c r="N408" s="7"/>
      <c r="W408" s="4"/>
      <c r="X408" s="4"/>
      <c r="Z408" s="7"/>
      <c r="AA408" s="4"/>
      <c r="AB408" s="3"/>
      <c r="AC408" s="3"/>
      <c r="AD408" s="3"/>
      <c r="AE408" s="3"/>
      <c r="AF408" s="3"/>
      <c r="AG408" s="3"/>
    </row>
    <row r="409" customFormat="false" ht="15.75" hidden="false" customHeight="false" outlineLevel="0" collapsed="false">
      <c r="A409" s="3"/>
      <c r="B409" s="3"/>
      <c r="C409" s="4"/>
      <c r="D409" s="4"/>
      <c r="E409" s="5"/>
      <c r="F409" s="6"/>
      <c r="N409" s="7"/>
      <c r="W409" s="4"/>
      <c r="X409" s="4"/>
      <c r="Z409" s="7"/>
      <c r="AA409" s="4"/>
      <c r="AB409" s="3"/>
      <c r="AC409" s="3"/>
      <c r="AD409" s="3"/>
      <c r="AE409" s="3"/>
      <c r="AF409" s="3"/>
      <c r="AG409" s="3"/>
    </row>
    <row r="410" customFormat="false" ht="15.75" hidden="false" customHeight="false" outlineLevel="0" collapsed="false">
      <c r="A410" s="3"/>
      <c r="B410" s="3"/>
      <c r="C410" s="4"/>
      <c r="D410" s="4"/>
      <c r="E410" s="5"/>
      <c r="F410" s="6"/>
      <c r="N410" s="7"/>
      <c r="W410" s="4"/>
      <c r="X410" s="4"/>
      <c r="Z410" s="7"/>
      <c r="AA410" s="4"/>
      <c r="AB410" s="3"/>
      <c r="AC410" s="3"/>
      <c r="AD410" s="3"/>
      <c r="AE410" s="3"/>
      <c r="AF410" s="3"/>
      <c r="AG410" s="3"/>
    </row>
    <row r="411" customFormat="false" ht="15.75" hidden="false" customHeight="false" outlineLevel="0" collapsed="false">
      <c r="A411" s="3"/>
      <c r="B411" s="3"/>
      <c r="C411" s="4"/>
      <c r="D411" s="4"/>
      <c r="E411" s="5"/>
      <c r="F411" s="6"/>
      <c r="N411" s="7"/>
      <c r="W411" s="4"/>
      <c r="X411" s="4"/>
      <c r="Z411" s="7"/>
      <c r="AA411" s="4"/>
      <c r="AB411" s="3"/>
      <c r="AC411" s="3"/>
      <c r="AD411" s="3"/>
      <c r="AE411" s="3"/>
      <c r="AF411" s="3"/>
      <c r="AG411" s="3"/>
    </row>
    <row r="412" customFormat="false" ht="15.75" hidden="false" customHeight="false" outlineLevel="0" collapsed="false">
      <c r="A412" s="3"/>
      <c r="B412" s="3"/>
      <c r="C412" s="4"/>
      <c r="D412" s="4"/>
      <c r="E412" s="5"/>
      <c r="F412" s="6"/>
      <c r="N412" s="7"/>
      <c r="W412" s="4"/>
      <c r="X412" s="4"/>
      <c r="Z412" s="7"/>
      <c r="AA412" s="4"/>
      <c r="AB412" s="3"/>
      <c r="AC412" s="3"/>
      <c r="AD412" s="3"/>
      <c r="AE412" s="3"/>
      <c r="AF412" s="3"/>
      <c r="AG412" s="3"/>
    </row>
    <row r="413" customFormat="false" ht="15.75" hidden="false" customHeight="false" outlineLevel="0" collapsed="false">
      <c r="A413" s="3"/>
      <c r="B413" s="3"/>
      <c r="C413" s="4"/>
      <c r="D413" s="4"/>
      <c r="E413" s="5"/>
      <c r="F413" s="6"/>
      <c r="N413" s="7"/>
      <c r="W413" s="4"/>
      <c r="X413" s="4"/>
      <c r="Z413" s="7"/>
      <c r="AA413" s="4"/>
      <c r="AB413" s="3"/>
      <c r="AC413" s="3"/>
      <c r="AD413" s="3"/>
      <c r="AE413" s="3"/>
      <c r="AF413" s="3"/>
      <c r="AG413" s="3"/>
    </row>
    <row r="414" customFormat="false" ht="15.75" hidden="false" customHeight="false" outlineLevel="0" collapsed="false">
      <c r="A414" s="3"/>
      <c r="B414" s="3"/>
      <c r="C414" s="4"/>
      <c r="D414" s="4"/>
      <c r="E414" s="5"/>
      <c r="F414" s="6"/>
      <c r="N414" s="7"/>
      <c r="W414" s="4"/>
      <c r="X414" s="4"/>
      <c r="Z414" s="7"/>
      <c r="AA414" s="4"/>
      <c r="AB414" s="3"/>
      <c r="AC414" s="3"/>
      <c r="AD414" s="3"/>
      <c r="AE414" s="3"/>
      <c r="AF414" s="3"/>
      <c r="AG414" s="3"/>
    </row>
    <row r="415" customFormat="false" ht="15.75" hidden="false" customHeight="false" outlineLevel="0" collapsed="false">
      <c r="A415" s="3"/>
      <c r="B415" s="3"/>
      <c r="C415" s="4"/>
      <c r="D415" s="4"/>
      <c r="E415" s="5"/>
      <c r="F415" s="6"/>
      <c r="N415" s="7"/>
      <c r="W415" s="4"/>
      <c r="X415" s="4"/>
      <c r="Z415" s="7"/>
      <c r="AA415" s="4"/>
      <c r="AB415" s="3"/>
      <c r="AC415" s="3"/>
      <c r="AD415" s="3"/>
      <c r="AE415" s="3"/>
      <c r="AF415" s="3"/>
      <c r="AG415" s="3"/>
    </row>
    <row r="416" customFormat="false" ht="15.75" hidden="false" customHeight="false" outlineLevel="0" collapsed="false">
      <c r="A416" s="3"/>
      <c r="B416" s="3"/>
      <c r="C416" s="4"/>
      <c r="D416" s="4"/>
      <c r="E416" s="5"/>
      <c r="F416" s="6"/>
      <c r="N416" s="7"/>
      <c r="W416" s="4"/>
      <c r="X416" s="4"/>
      <c r="Z416" s="7"/>
      <c r="AA416" s="4"/>
      <c r="AB416" s="3"/>
      <c r="AC416" s="3"/>
      <c r="AD416" s="3"/>
      <c r="AE416" s="3"/>
      <c r="AF416" s="3"/>
      <c r="AG416" s="3"/>
    </row>
    <row r="417" customFormat="false" ht="15.75" hidden="false" customHeight="false" outlineLevel="0" collapsed="false">
      <c r="A417" s="3"/>
      <c r="B417" s="3"/>
      <c r="C417" s="4"/>
      <c r="D417" s="4"/>
      <c r="E417" s="5"/>
      <c r="F417" s="6"/>
      <c r="N417" s="7"/>
      <c r="W417" s="4"/>
      <c r="X417" s="4"/>
      <c r="Z417" s="7"/>
      <c r="AA417" s="4"/>
      <c r="AB417" s="3"/>
      <c r="AC417" s="3"/>
      <c r="AD417" s="3"/>
      <c r="AE417" s="3"/>
      <c r="AF417" s="3"/>
      <c r="AG417" s="3"/>
    </row>
    <row r="418" customFormat="false" ht="15.75" hidden="false" customHeight="false" outlineLevel="0" collapsed="false">
      <c r="A418" s="3"/>
      <c r="B418" s="3"/>
      <c r="C418" s="4"/>
      <c r="D418" s="4"/>
      <c r="E418" s="5"/>
      <c r="F418" s="6"/>
      <c r="N418" s="7"/>
      <c r="W418" s="4"/>
      <c r="X418" s="4"/>
      <c r="Z418" s="7"/>
      <c r="AA418" s="4"/>
      <c r="AB418" s="3"/>
      <c r="AC418" s="3"/>
      <c r="AD418" s="3"/>
      <c r="AE418" s="3"/>
      <c r="AF418" s="3"/>
      <c r="AG418" s="3"/>
    </row>
    <row r="419" customFormat="false" ht="15.75" hidden="false" customHeight="false" outlineLevel="0" collapsed="false">
      <c r="A419" s="3"/>
      <c r="B419" s="3"/>
      <c r="C419" s="4"/>
      <c r="D419" s="4"/>
      <c r="E419" s="5"/>
      <c r="F419" s="6"/>
      <c r="N419" s="7"/>
      <c r="W419" s="4"/>
      <c r="X419" s="4"/>
      <c r="Z419" s="7"/>
      <c r="AA419" s="4"/>
      <c r="AB419" s="3"/>
      <c r="AC419" s="3"/>
      <c r="AD419" s="3"/>
      <c r="AE419" s="3"/>
      <c r="AF419" s="3"/>
      <c r="AG419" s="3"/>
    </row>
    <row r="420" customFormat="false" ht="15.75" hidden="false" customHeight="false" outlineLevel="0" collapsed="false">
      <c r="A420" s="3"/>
      <c r="B420" s="3"/>
      <c r="C420" s="4"/>
      <c r="D420" s="4"/>
      <c r="E420" s="5"/>
      <c r="F420" s="6"/>
      <c r="N420" s="7"/>
      <c r="W420" s="4"/>
      <c r="X420" s="4"/>
      <c r="Z420" s="7"/>
      <c r="AA420" s="4"/>
      <c r="AB420" s="3"/>
      <c r="AC420" s="3"/>
      <c r="AD420" s="3"/>
      <c r="AE420" s="3"/>
      <c r="AF420" s="3"/>
      <c r="AG420" s="3"/>
    </row>
    <row r="421" customFormat="false" ht="15.75" hidden="false" customHeight="false" outlineLevel="0" collapsed="false">
      <c r="A421" s="3"/>
      <c r="B421" s="3"/>
      <c r="C421" s="4"/>
      <c r="D421" s="4"/>
      <c r="E421" s="5"/>
      <c r="F421" s="6"/>
      <c r="N421" s="7"/>
      <c r="W421" s="4"/>
      <c r="X421" s="4"/>
      <c r="Z421" s="7"/>
      <c r="AA421" s="4"/>
      <c r="AB421" s="3"/>
      <c r="AC421" s="3"/>
      <c r="AD421" s="3"/>
      <c r="AE421" s="3"/>
      <c r="AF421" s="3"/>
      <c r="AG421" s="3"/>
    </row>
    <row r="422" customFormat="false" ht="15.75" hidden="false" customHeight="false" outlineLevel="0" collapsed="false">
      <c r="A422" s="3"/>
      <c r="B422" s="3"/>
      <c r="C422" s="4"/>
      <c r="D422" s="4"/>
      <c r="E422" s="5"/>
      <c r="F422" s="6"/>
      <c r="N422" s="7"/>
      <c r="W422" s="4"/>
      <c r="X422" s="4"/>
      <c r="Z422" s="7"/>
      <c r="AA422" s="4"/>
      <c r="AB422" s="3"/>
      <c r="AC422" s="3"/>
      <c r="AD422" s="3"/>
      <c r="AE422" s="3"/>
      <c r="AF422" s="3"/>
      <c r="AG422" s="3"/>
    </row>
    <row r="423" customFormat="false" ht="15.75" hidden="false" customHeight="false" outlineLevel="0" collapsed="false">
      <c r="A423" s="3"/>
      <c r="B423" s="3"/>
      <c r="C423" s="4"/>
      <c r="D423" s="4"/>
      <c r="E423" s="5"/>
      <c r="F423" s="6"/>
      <c r="N423" s="7"/>
      <c r="W423" s="4"/>
      <c r="X423" s="4"/>
      <c r="Z423" s="7"/>
      <c r="AA423" s="4"/>
      <c r="AB423" s="3"/>
      <c r="AC423" s="3"/>
      <c r="AD423" s="3"/>
      <c r="AE423" s="3"/>
      <c r="AF423" s="3"/>
      <c r="AG423" s="3"/>
    </row>
    <row r="424" customFormat="false" ht="15.75" hidden="false" customHeight="false" outlineLevel="0" collapsed="false">
      <c r="A424" s="3"/>
      <c r="B424" s="3"/>
      <c r="C424" s="4"/>
      <c r="D424" s="4"/>
      <c r="E424" s="5"/>
      <c r="F424" s="6"/>
      <c r="N424" s="7"/>
      <c r="W424" s="4"/>
      <c r="X424" s="4"/>
      <c r="Z424" s="7"/>
      <c r="AA424" s="4"/>
      <c r="AB424" s="3"/>
      <c r="AC424" s="3"/>
      <c r="AD424" s="3"/>
      <c r="AE424" s="3"/>
      <c r="AF424" s="3"/>
      <c r="AG424" s="3"/>
    </row>
    <row r="425" customFormat="false" ht="15.75" hidden="false" customHeight="false" outlineLevel="0" collapsed="false">
      <c r="A425" s="3"/>
      <c r="B425" s="3"/>
      <c r="C425" s="4"/>
      <c r="D425" s="4"/>
      <c r="E425" s="5"/>
      <c r="F425" s="6"/>
      <c r="N425" s="7"/>
      <c r="W425" s="4"/>
      <c r="X425" s="4"/>
      <c r="Z425" s="7"/>
      <c r="AA425" s="4"/>
      <c r="AB425" s="3"/>
      <c r="AC425" s="3"/>
      <c r="AD425" s="3"/>
      <c r="AE425" s="3"/>
      <c r="AF425" s="3"/>
      <c r="AG425" s="3"/>
    </row>
    <row r="426" customFormat="false" ht="15.75" hidden="false" customHeight="false" outlineLevel="0" collapsed="false">
      <c r="A426" s="3"/>
      <c r="B426" s="3"/>
      <c r="C426" s="4"/>
      <c r="D426" s="4"/>
      <c r="E426" s="5"/>
      <c r="F426" s="6"/>
      <c r="N426" s="7"/>
      <c r="W426" s="4"/>
      <c r="X426" s="4"/>
      <c r="Z426" s="7"/>
      <c r="AA426" s="4"/>
      <c r="AB426" s="3"/>
      <c r="AC426" s="3"/>
      <c r="AD426" s="3"/>
      <c r="AE426" s="3"/>
      <c r="AF426" s="3"/>
      <c r="AG426" s="3"/>
    </row>
    <row r="427" customFormat="false" ht="15.75" hidden="false" customHeight="false" outlineLevel="0" collapsed="false">
      <c r="A427" s="3"/>
      <c r="B427" s="3"/>
      <c r="C427" s="4"/>
      <c r="D427" s="4"/>
      <c r="E427" s="5"/>
      <c r="F427" s="6"/>
      <c r="N427" s="7"/>
      <c r="W427" s="4"/>
      <c r="X427" s="4"/>
      <c r="Z427" s="7"/>
      <c r="AA427" s="4"/>
      <c r="AB427" s="3"/>
      <c r="AC427" s="3"/>
      <c r="AD427" s="3"/>
      <c r="AE427" s="3"/>
      <c r="AF427" s="3"/>
      <c r="AG427" s="3"/>
    </row>
    <row r="428" customFormat="false" ht="15.75" hidden="false" customHeight="false" outlineLevel="0" collapsed="false">
      <c r="A428" s="3"/>
      <c r="B428" s="3"/>
      <c r="C428" s="4"/>
      <c r="D428" s="4"/>
      <c r="E428" s="5"/>
      <c r="F428" s="6"/>
      <c r="N428" s="7"/>
      <c r="W428" s="4"/>
      <c r="X428" s="4"/>
      <c r="Z428" s="7"/>
      <c r="AA428" s="4"/>
      <c r="AB428" s="3"/>
      <c r="AC428" s="3"/>
      <c r="AD428" s="3"/>
      <c r="AE428" s="3"/>
      <c r="AF428" s="3"/>
      <c r="AG428" s="3"/>
    </row>
    <row r="429" customFormat="false" ht="15.75" hidden="false" customHeight="false" outlineLevel="0" collapsed="false">
      <c r="A429" s="3"/>
      <c r="B429" s="3"/>
      <c r="C429" s="4"/>
      <c r="D429" s="4"/>
      <c r="E429" s="5"/>
      <c r="F429" s="6"/>
      <c r="N429" s="7"/>
      <c r="W429" s="4"/>
      <c r="X429" s="4"/>
      <c r="Z429" s="7"/>
      <c r="AA429" s="4"/>
      <c r="AB429" s="3"/>
      <c r="AC429" s="3"/>
      <c r="AD429" s="3"/>
      <c r="AE429" s="3"/>
      <c r="AF429" s="3"/>
      <c r="AG429" s="3"/>
    </row>
    <row r="430" customFormat="false" ht="15.75" hidden="false" customHeight="false" outlineLevel="0" collapsed="false">
      <c r="A430" s="3"/>
      <c r="B430" s="3"/>
      <c r="C430" s="4"/>
      <c r="D430" s="4"/>
      <c r="E430" s="5"/>
      <c r="F430" s="6"/>
      <c r="N430" s="7"/>
      <c r="W430" s="4"/>
      <c r="X430" s="4"/>
      <c r="Z430" s="7"/>
      <c r="AA430" s="4"/>
      <c r="AB430" s="3"/>
      <c r="AC430" s="3"/>
      <c r="AD430" s="3"/>
      <c r="AE430" s="3"/>
      <c r="AF430" s="3"/>
      <c r="AG430" s="3"/>
    </row>
    <row r="431" customFormat="false" ht="15.75" hidden="false" customHeight="false" outlineLevel="0" collapsed="false">
      <c r="A431" s="3"/>
      <c r="B431" s="3"/>
      <c r="C431" s="4"/>
      <c r="D431" s="4"/>
      <c r="E431" s="5"/>
      <c r="F431" s="6"/>
      <c r="N431" s="7"/>
      <c r="W431" s="4"/>
      <c r="X431" s="4"/>
      <c r="Z431" s="7"/>
      <c r="AA431" s="4"/>
      <c r="AB431" s="3"/>
      <c r="AC431" s="3"/>
      <c r="AD431" s="3"/>
      <c r="AE431" s="3"/>
      <c r="AF431" s="3"/>
      <c r="AG431" s="3"/>
    </row>
    <row r="432" customFormat="false" ht="15.75" hidden="false" customHeight="false" outlineLevel="0" collapsed="false">
      <c r="A432" s="3"/>
      <c r="B432" s="3"/>
      <c r="C432" s="4"/>
      <c r="D432" s="4"/>
      <c r="E432" s="5"/>
      <c r="F432" s="6"/>
      <c r="N432" s="7"/>
      <c r="W432" s="4"/>
      <c r="X432" s="4"/>
      <c r="Z432" s="7"/>
      <c r="AA432" s="4"/>
      <c r="AB432" s="3"/>
      <c r="AC432" s="3"/>
      <c r="AD432" s="3"/>
      <c r="AE432" s="3"/>
      <c r="AF432" s="3"/>
      <c r="AG432" s="3"/>
    </row>
    <row r="433" customFormat="false" ht="15.75" hidden="false" customHeight="false" outlineLevel="0" collapsed="false">
      <c r="A433" s="3"/>
      <c r="B433" s="3"/>
      <c r="C433" s="4"/>
      <c r="D433" s="4"/>
      <c r="E433" s="5"/>
      <c r="F433" s="6"/>
      <c r="N433" s="7"/>
      <c r="W433" s="4"/>
      <c r="X433" s="4"/>
      <c r="Z433" s="7"/>
      <c r="AA433" s="4"/>
      <c r="AB433" s="3"/>
      <c r="AC433" s="3"/>
      <c r="AD433" s="3"/>
      <c r="AE433" s="3"/>
      <c r="AF433" s="3"/>
      <c r="AG433" s="3"/>
    </row>
    <row r="434" customFormat="false" ht="15.75" hidden="false" customHeight="false" outlineLevel="0" collapsed="false">
      <c r="A434" s="3"/>
      <c r="B434" s="3"/>
      <c r="C434" s="4"/>
      <c r="D434" s="4"/>
      <c r="E434" s="5"/>
      <c r="F434" s="6"/>
      <c r="N434" s="7"/>
      <c r="W434" s="4"/>
      <c r="X434" s="4"/>
      <c r="Z434" s="7"/>
      <c r="AA434" s="4"/>
      <c r="AB434" s="3"/>
      <c r="AC434" s="3"/>
      <c r="AD434" s="3"/>
      <c r="AE434" s="3"/>
      <c r="AF434" s="3"/>
      <c r="AG434" s="3"/>
    </row>
    <row r="435" customFormat="false" ht="15.75" hidden="false" customHeight="false" outlineLevel="0" collapsed="false">
      <c r="A435" s="3"/>
      <c r="B435" s="3"/>
      <c r="C435" s="4"/>
      <c r="D435" s="4"/>
      <c r="E435" s="5"/>
      <c r="F435" s="6"/>
      <c r="N435" s="7"/>
      <c r="W435" s="4"/>
      <c r="X435" s="4"/>
      <c r="Z435" s="7"/>
      <c r="AA435" s="4"/>
      <c r="AB435" s="3"/>
      <c r="AC435" s="3"/>
      <c r="AD435" s="3"/>
      <c r="AE435" s="3"/>
      <c r="AF435" s="3"/>
      <c r="AG435" s="3"/>
    </row>
    <row r="436" customFormat="false" ht="15.75" hidden="false" customHeight="false" outlineLevel="0" collapsed="false">
      <c r="A436" s="3"/>
      <c r="B436" s="3"/>
      <c r="C436" s="4"/>
      <c r="D436" s="4"/>
      <c r="E436" s="5"/>
      <c r="F436" s="6"/>
      <c r="N436" s="7"/>
      <c r="W436" s="4"/>
      <c r="X436" s="4"/>
      <c r="Z436" s="7"/>
      <c r="AA436" s="4"/>
      <c r="AB436" s="3"/>
      <c r="AC436" s="3"/>
      <c r="AD436" s="3"/>
      <c r="AE436" s="3"/>
      <c r="AF436" s="3"/>
      <c r="AG436" s="3"/>
    </row>
    <row r="437" customFormat="false" ht="15.75" hidden="false" customHeight="false" outlineLevel="0" collapsed="false">
      <c r="A437" s="3"/>
      <c r="B437" s="3"/>
      <c r="C437" s="4"/>
      <c r="D437" s="4"/>
      <c r="E437" s="5"/>
      <c r="F437" s="6"/>
      <c r="N437" s="7"/>
      <c r="W437" s="4"/>
      <c r="X437" s="4"/>
      <c r="Z437" s="7"/>
      <c r="AA437" s="4"/>
      <c r="AB437" s="3"/>
      <c r="AC437" s="3"/>
      <c r="AD437" s="3"/>
      <c r="AE437" s="3"/>
      <c r="AF437" s="3"/>
      <c r="AG437" s="3"/>
    </row>
    <row r="438" customFormat="false" ht="15.75" hidden="false" customHeight="false" outlineLevel="0" collapsed="false">
      <c r="A438" s="3"/>
      <c r="B438" s="3"/>
      <c r="C438" s="4"/>
      <c r="D438" s="4"/>
      <c r="E438" s="5"/>
      <c r="F438" s="6"/>
      <c r="N438" s="7"/>
      <c r="W438" s="4"/>
      <c r="X438" s="4"/>
      <c r="Z438" s="7"/>
      <c r="AA438" s="4"/>
      <c r="AB438" s="3"/>
      <c r="AC438" s="3"/>
      <c r="AD438" s="3"/>
      <c r="AE438" s="3"/>
      <c r="AF438" s="3"/>
      <c r="AG438" s="3"/>
    </row>
    <row r="439" customFormat="false" ht="15.75" hidden="false" customHeight="false" outlineLevel="0" collapsed="false">
      <c r="A439" s="3"/>
      <c r="B439" s="3"/>
      <c r="C439" s="4"/>
      <c r="D439" s="4"/>
      <c r="E439" s="5"/>
      <c r="F439" s="6"/>
      <c r="N439" s="7"/>
      <c r="W439" s="4"/>
      <c r="X439" s="4"/>
      <c r="Z439" s="7"/>
      <c r="AA439" s="4"/>
      <c r="AB439" s="3"/>
      <c r="AC439" s="3"/>
      <c r="AD439" s="3"/>
      <c r="AE439" s="3"/>
      <c r="AF439" s="3"/>
      <c r="AG439" s="3"/>
    </row>
    <row r="440" customFormat="false" ht="15.75" hidden="false" customHeight="false" outlineLevel="0" collapsed="false">
      <c r="A440" s="3"/>
      <c r="B440" s="3"/>
      <c r="C440" s="4"/>
      <c r="D440" s="4"/>
      <c r="E440" s="5"/>
      <c r="F440" s="6"/>
      <c r="N440" s="7"/>
      <c r="W440" s="4"/>
      <c r="X440" s="4"/>
      <c r="Z440" s="7"/>
      <c r="AA440" s="4"/>
      <c r="AB440" s="3"/>
      <c r="AC440" s="3"/>
      <c r="AD440" s="3"/>
      <c r="AE440" s="3"/>
      <c r="AF440" s="3"/>
      <c r="AG440" s="3"/>
    </row>
    <row r="441" customFormat="false" ht="15.75" hidden="false" customHeight="false" outlineLevel="0" collapsed="false">
      <c r="A441" s="3"/>
      <c r="B441" s="3"/>
      <c r="C441" s="4"/>
      <c r="D441" s="4"/>
      <c r="E441" s="5"/>
      <c r="F441" s="6"/>
      <c r="N441" s="7"/>
      <c r="W441" s="4"/>
      <c r="X441" s="4"/>
      <c r="Z441" s="7"/>
      <c r="AA441" s="4"/>
      <c r="AB441" s="3"/>
      <c r="AC441" s="3"/>
      <c r="AD441" s="3"/>
      <c r="AE441" s="3"/>
      <c r="AF441" s="3"/>
      <c r="AG441" s="3"/>
    </row>
    <row r="442" customFormat="false" ht="15.75" hidden="false" customHeight="false" outlineLevel="0" collapsed="false">
      <c r="A442" s="3"/>
      <c r="B442" s="3"/>
      <c r="C442" s="4"/>
      <c r="D442" s="4"/>
      <c r="E442" s="5"/>
      <c r="F442" s="6"/>
      <c r="N442" s="7"/>
      <c r="W442" s="4"/>
      <c r="X442" s="4"/>
      <c r="Z442" s="7"/>
      <c r="AA442" s="4"/>
      <c r="AB442" s="3"/>
      <c r="AC442" s="3"/>
      <c r="AD442" s="3"/>
      <c r="AE442" s="3"/>
      <c r="AF442" s="3"/>
      <c r="AG442" s="3"/>
    </row>
    <row r="443" customFormat="false" ht="15.75" hidden="false" customHeight="false" outlineLevel="0" collapsed="false">
      <c r="A443" s="3"/>
      <c r="B443" s="3"/>
      <c r="C443" s="4"/>
      <c r="D443" s="4"/>
      <c r="E443" s="5"/>
      <c r="F443" s="6"/>
      <c r="N443" s="7"/>
      <c r="W443" s="4"/>
      <c r="X443" s="4"/>
      <c r="Z443" s="7"/>
      <c r="AA443" s="4"/>
      <c r="AB443" s="3"/>
      <c r="AC443" s="3"/>
      <c r="AD443" s="3"/>
      <c r="AE443" s="3"/>
      <c r="AF443" s="3"/>
      <c r="AG443" s="3"/>
    </row>
    <row r="444" customFormat="false" ht="15.75" hidden="false" customHeight="false" outlineLevel="0" collapsed="false">
      <c r="A444" s="3"/>
      <c r="B444" s="3"/>
      <c r="C444" s="4"/>
      <c r="D444" s="4"/>
      <c r="E444" s="5"/>
      <c r="F444" s="6"/>
      <c r="N444" s="7"/>
      <c r="W444" s="4"/>
      <c r="X444" s="4"/>
      <c r="Z444" s="7"/>
      <c r="AA444" s="4"/>
      <c r="AB444" s="3"/>
      <c r="AC444" s="3"/>
      <c r="AD444" s="3"/>
      <c r="AE444" s="3"/>
      <c r="AF444" s="3"/>
      <c r="AG444" s="3"/>
    </row>
    <row r="445" customFormat="false" ht="15.75" hidden="false" customHeight="false" outlineLevel="0" collapsed="false">
      <c r="A445" s="3"/>
      <c r="B445" s="3"/>
      <c r="C445" s="4"/>
      <c r="D445" s="4"/>
      <c r="E445" s="5"/>
      <c r="F445" s="6"/>
      <c r="N445" s="7"/>
      <c r="W445" s="4"/>
      <c r="X445" s="4"/>
      <c r="Z445" s="7"/>
      <c r="AA445" s="4"/>
      <c r="AB445" s="3"/>
      <c r="AC445" s="3"/>
      <c r="AD445" s="3"/>
      <c r="AE445" s="3"/>
      <c r="AF445" s="3"/>
      <c r="AG445" s="3"/>
    </row>
    <row r="446" customFormat="false" ht="15.75" hidden="false" customHeight="false" outlineLevel="0" collapsed="false">
      <c r="A446" s="3"/>
      <c r="B446" s="3"/>
      <c r="C446" s="4"/>
      <c r="D446" s="4"/>
      <c r="E446" s="5"/>
      <c r="F446" s="6"/>
      <c r="N446" s="7"/>
      <c r="W446" s="4"/>
      <c r="X446" s="4"/>
      <c r="Z446" s="7"/>
      <c r="AA446" s="4"/>
      <c r="AB446" s="3"/>
      <c r="AC446" s="3"/>
      <c r="AD446" s="3"/>
      <c r="AE446" s="3"/>
      <c r="AF446" s="3"/>
      <c r="AG446" s="3"/>
    </row>
    <row r="447" customFormat="false" ht="15.75" hidden="false" customHeight="false" outlineLevel="0" collapsed="false">
      <c r="A447" s="3"/>
      <c r="B447" s="3"/>
      <c r="C447" s="4"/>
      <c r="D447" s="4"/>
      <c r="E447" s="5"/>
      <c r="F447" s="6"/>
      <c r="N447" s="7"/>
      <c r="W447" s="4"/>
      <c r="X447" s="4"/>
      <c r="Z447" s="7"/>
      <c r="AA447" s="4"/>
      <c r="AB447" s="3"/>
      <c r="AC447" s="3"/>
      <c r="AD447" s="3"/>
      <c r="AE447" s="3"/>
      <c r="AF447" s="3"/>
      <c r="AG447" s="3"/>
    </row>
    <row r="448" customFormat="false" ht="15.75" hidden="false" customHeight="false" outlineLevel="0" collapsed="false">
      <c r="A448" s="3"/>
      <c r="B448" s="3"/>
      <c r="C448" s="4"/>
      <c r="D448" s="4"/>
      <c r="E448" s="5"/>
      <c r="F448" s="6"/>
      <c r="N448" s="7"/>
      <c r="W448" s="4"/>
      <c r="X448" s="4"/>
      <c r="Z448" s="7"/>
      <c r="AA448" s="4"/>
      <c r="AB448" s="3"/>
      <c r="AC448" s="3"/>
      <c r="AD448" s="3"/>
      <c r="AE448" s="3"/>
      <c r="AF448" s="3"/>
      <c r="AG448" s="3"/>
    </row>
    <row r="449" customFormat="false" ht="15.75" hidden="false" customHeight="false" outlineLevel="0" collapsed="false">
      <c r="A449" s="3"/>
      <c r="B449" s="3"/>
      <c r="C449" s="4"/>
      <c r="D449" s="4"/>
      <c r="E449" s="5"/>
      <c r="F449" s="6"/>
      <c r="N449" s="7"/>
      <c r="W449" s="4"/>
      <c r="X449" s="4"/>
      <c r="Z449" s="7"/>
      <c r="AA449" s="4"/>
      <c r="AB449" s="3"/>
      <c r="AC449" s="3"/>
      <c r="AD449" s="3"/>
      <c r="AE449" s="3"/>
      <c r="AF449" s="3"/>
      <c r="AG449" s="3"/>
    </row>
    <row r="450" customFormat="false" ht="15.75" hidden="false" customHeight="false" outlineLevel="0" collapsed="false">
      <c r="A450" s="3"/>
      <c r="B450" s="3"/>
      <c r="C450" s="4"/>
      <c r="D450" s="4"/>
      <c r="E450" s="5"/>
      <c r="F450" s="6"/>
      <c r="N450" s="7"/>
      <c r="W450" s="4"/>
      <c r="X450" s="4"/>
      <c r="Z450" s="7"/>
      <c r="AA450" s="4"/>
      <c r="AB450" s="3"/>
      <c r="AC450" s="3"/>
      <c r="AD450" s="3"/>
      <c r="AE450" s="3"/>
      <c r="AF450" s="3"/>
      <c r="AG450" s="3"/>
    </row>
    <row r="451" customFormat="false" ht="15.75" hidden="false" customHeight="false" outlineLevel="0" collapsed="false">
      <c r="A451" s="3"/>
      <c r="B451" s="3"/>
      <c r="C451" s="4"/>
      <c r="D451" s="4"/>
      <c r="E451" s="5"/>
      <c r="F451" s="6"/>
      <c r="N451" s="7"/>
      <c r="W451" s="4"/>
      <c r="X451" s="4"/>
      <c r="Z451" s="7"/>
      <c r="AA451" s="4"/>
      <c r="AB451" s="3"/>
      <c r="AC451" s="3"/>
      <c r="AD451" s="3"/>
      <c r="AE451" s="3"/>
      <c r="AF451" s="3"/>
      <c r="AG451" s="3"/>
    </row>
    <row r="452" customFormat="false" ht="15.75" hidden="false" customHeight="false" outlineLevel="0" collapsed="false">
      <c r="A452" s="3"/>
      <c r="B452" s="3"/>
      <c r="C452" s="4"/>
      <c r="D452" s="4"/>
      <c r="E452" s="5"/>
      <c r="F452" s="6"/>
      <c r="N452" s="7"/>
      <c r="W452" s="4"/>
      <c r="X452" s="4"/>
      <c r="Z452" s="7"/>
      <c r="AA452" s="4"/>
      <c r="AB452" s="3"/>
      <c r="AC452" s="3"/>
      <c r="AD452" s="3"/>
      <c r="AE452" s="3"/>
      <c r="AF452" s="3"/>
      <c r="AG452" s="3"/>
    </row>
    <row r="453" customFormat="false" ht="15.75" hidden="false" customHeight="false" outlineLevel="0" collapsed="false">
      <c r="A453" s="3"/>
      <c r="B453" s="3"/>
      <c r="C453" s="4"/>
      <c r="D453" s="4"/>
      <c r="E453" s="5"/>
      <c r="F453" s="6"/>
      <c r="N453" s="7"/>
      <c r="W453" s="4"/>
      <c r="X453" s="4"/>
      <c r="Z453" s="7"/>
      <c r="AA453" s="4"/>
      <c r="AB453" s="3"/>
      <c r="AC453" s="3"/>
      <c r="AD453" s="3"/>
      <c r="AE453" s="3"/>
      <c r="AF453" s="3"/>
      <c r="AG453" s="3"/>
    </row>
    <row r="454" customFormat="false" ht="15.75" hidden="false" customHeight="false" outlineLevel="0" collapsed="false">
      <c r="A454" s="3"/>
      <c r="B454" s="3"/>
      <c r="C454" s="4"/>
      <c r="D454" s="4"/>
      <c r="E454" s="5"/>
      <c r="F454" s="6"/>
      <c r="N454" s="7"/>
      <c r="W454" s="4"/>
      <c r="X454" s="4"/>
      <c r="Z454" s="7"/>
      <c r="AA454" s="4"/>
      <c r="AB454" s="3"/>
      <c r="AC454" s="3"/>
      <c r="AD454" s="3"/>
      <c r="AE454" s="3"/>
      <c r="AF454" s="3"/>
      <c r="AG454" s="3"/>
    </row>
    <row r="455" customFormat="false" ht="15.75" hidden="false" customHeight="false" outlineLevel="0" collapsed="false">
      <c r="A455" s="3"/>
      <c r="B455" s="3"/>
      <c r="C455" s="4"/>
      <c r="D455" s="4"/>
      <c r="E455" s="5"/>
      <c r="F455" s="6"/>
      <c r="N455" s="7"/>
      <c r="W455" s="4"/>
      <c r="X455" s="4"/>
      <c r="Z455" s="7"/>
      <c r="AA455" s="4"/>
      <c r="AB455" s="3"/>
      <c r="AC455" s="3"/>
      <c r="AD455" s="3"/>
      <c r="AE455" s="3"/>
      <c r="AF455" s="3"/>
      <c r="AG455" s="3"/>
    </row>
    <row r="456" customFormat="false" ht="15.75" hidden="false" customHeight="false" outlineLevel="0" collapsed="false">
      <c r="A456" s="3"/>
      <c r="B456" s="3"/>
      <c r="C456" s="4"/>
      <c r="D456" s="4"/>
      <c r="E456" s="5"/>
      <c r="F456" s="6"/>
      <c r="N456" s="7"/>
      <c r="W456" s="4"/>
      <c r="X456" s="4"/>
      <c r="Z456" s="7"/>
      <c r="AA456" s="4"/>
      <c r="AB456" s="3"/>
      <c r="AC456" s="3"/>
      <c r="AD456" s="3"/>
      <c r="AE456" s="3"/>
      <c r="AF456" s="3"/>
      <c r="AG456" s="3"/>
    </row>
    <row r="457" customFormat="false" ht="15.75" hidden="false" customHeight="false" outlineLevel="0" collapsed="false">
      <c r="A457" s="3"/>
      <c r="B457" s="3"/>
      <c r="C457" s="4"/>
      <c r="D457" s="4"/>
      <c r="E457" s="5"/>
      <c r="F457" s="6"/>
      <c r="N457" s="7"/>
      <c r="W457" s="4"/>
      <c r="X457" s="4"/>
      <c r="Z457" s="7"/>
      <c r="AA457" s="4"/>
      <c r="AB457" s="3"/>
      <c r="AC457" s="3"/>
      <c r="AD457" s="3"/>
      <c r="AE457" s="3"/>
      <c r="AF457" s="3"/>
      <c r="AG457" s="3"/>
    </row>
    <row r="458" customFormat="false" ht="15.75" hidden="false" customHeight="false" outlineLevel="0" collapsed="false">
      <c r="A458" s="3"/>
      <c r="B458" s="3"/>
      <c r="C458" s="4"/>
      <c r="D458" s="4"/>
      <c r="E458" s="5"/>
      <c r="F458" s="6"/>
      <c r="N458" s="7"/>
      <c r="W458" s="4"/>
      <c r="X458" s="4"/>
      <c r="Z458" s="7"/>
      <c r="AA458" s="4"/>
      <c r="AB458" s="3"/>
      <c r="AC458" s="3"/>
      <c r="AD458" s="3"/>
      <c r="AE458" s="3"/>
      <c r="AF458" s="3"/>
      <c r="AG458" s="3"/>
    </row>
    <row r="459" customFormat="false" ht="15.75" hidden="false" customHeight="false" outlineLevel="0" collapsed="false">
      <c r="A459" s="3"/>
      <c r="B459" s="3"/>
      <c r="C459" s="4"/>
      <c r="D459" s="4"/>
      <c r="E459" s="5"/>
      <c r="F459" s="6"/>
      <c r="N459" s="7"/>
      <c r="W459" s="4"/>
      <c r="X459" s="4"/>
      <c r="Z459" s="7"/>
      <c r="AA459" s="4"/>
      <c r="AB459" s="3"/>
      <c r="AC459" s="3"/>
      <c r="AD459" s="3"/>
      <c r="AE459" s="3"/>
      <c r="AF459" s="3"/>
      <c r="AG459" s="3"/>
    </row>
    <row r="460" customFormat="false" ht="15.75" hidden="false" customHeight="false" outlineLevel="0" collapsed="false">
      <c r="A460" s="3"/>
      <c r="B460" s="3"/>
      <c r="C460" s="4"/>
      <c r="D460" s="4"/>
      <c r="E460" s="5"/>
      <c r="F460" s="6"/>
      <c r="N460" s="7"/>
      <c r="W460" s="4"/>
      <c r="X460" s="4"/>
      <c r="Z460" s="7"/>
      <c r="AA460" s="4"/>
      <c r="AB460" s="3"/>
      <c r="AC460" s="3"/>
      <c r="AD460" s="3"/>
      <c r="AE460" s="3"/>
      <c r="AF460" s="3"/>
      <c r="AG460" s="3"/>
    </row>
    <row r="461" customFormat="false" ht="15.75" hidden="false" customHeight="false" outlineLevel="0" collapsed="false">
      <c r="A461" s="3"/>
      <c r="B461" s="3"/>
      <c r="C461" s="4"/>
      <c r="D461" s="4"/>
      <c r="E461" s="5"/>
      <c r="F461" s="6"/>
      <c r="N461" s="7"/>
      <c r="W461" s="4"/>
      <c r="X461" s="4"/>
      <c r="Z461" s="7"/>
      <c r="AA461" s="4"/>
      <c r="AB461" s="3"/>
      <c r="AC461" s="3"/>
      <c r="AD461" s="3"/>
      <c r="AE461" s="3"/>
      <c r="AF461" s="3"/>
      <c r="AG461" s="3"/>
    </row>
    <row r="462" customFormat="false" ht="15.75" hidden="false" customHeight="false" outlineLevel="0" collapsed="false">
      <c r="A462" s="3"/>
      <c r="B462" s="3"/>
      <c r="C462" s="4"/>
      <c r="D462" s="4"/>
      <c r="E462" s="5"/>
      <c r="F462" s="6"/>
      <c r="N462" s="7"/>
      <c r="W462" s="4"/>
      <c r="X462" s="4"/>
      <c r="Z462" s="7"/>
      <c r="AA462" s="4"/>
      <c r="AB462" s="3"/>
      <c r="AC462" s="3"/>
      <c r="AD462" s="3"/>
      <c r="AE462" s="3"/>
      <c r="AF462" s="3"/>
      <c r="AG462" s="3"/>
    </row>
    <row r="463" customFormat="false" ht="15.75" hidden="false" customHeight="false" outlineLevel="0" collapsed="false">
      <c r="A463" s="3"/>
      <c r="B463" s="3"/>
      <c r="C463" s="4"/>
      <c r="D463" s="4"/>
      <c r="E463" s="5"/>
      <c r="F463" s="6"/>
      <c r="N463" s="7"/>
      <c r="W463" s="4"/>
      <c r="X463" s="4"/>
      <c r="Z463" s="7"/>
      <c r="AA463" s="4"/>
      <c r="AB463" s="3"/>
      <c r="AC463" s="3"/>
      <c r="AD463" s="3"/>
      <c r="AE463" s="3"/>
      <c r="AF463" s="3"/>
      <c r="AG463" s="3"/>
    </row>
    <row r="464" customFormat="false" ht="15.75" hidden="false" customHeight="false" outlineLevel="0" collapsed="false">
      <c r="A464" s="3"/>
      <c r="B464" s="3"/>
      <c r="C464" s="4"/>
      <c r="D464" s="4"/>
      <c r="E464" s="5"/>
      <c r="F464" s="6"/>
      <c r="N464" s="7"/>
      <c r="W464" s="4"/>
      <c r="X464" s="4"/>
      <c r="Z464" s="7"/>
      <c r="AA464" s="4"/>
      <c r="AB464" s="3"/>
      <c r="AC464" s="3"/>
      <c r="AD464" s="3"/>
      <c r="AE464" s="3"/>
      <c r="AF464" s="3"/>
      <c r="AG464" s="3"/>
    </row>
    <row r="465" customFormat="false" ht="15.75" hidden="false" customHeight="false" outlineLevel="0" collapsed="false">
      <c r="A465" s="3"/>
      <c r="B465" s="3"/>
      <c r="C465" s="4"/>
      <c r="D465" s="4"/>
      <c r="E465" s="5"/>
      <c r="F465" s="6"/>
      <c r="N465" s="7"/>
      <c r="W465" s="4"/>
      <c r="X465" s="4"/>
      <c r="Z465" s="7"/>
      <c r="AA465" s="4"/>
      <c r="AB465" s="3"/>
      <c r="AC465" s="3"/>
      <c r="AD465" s="3"/>
      <c r="AE465" s="3"/>
      <c r="AF465" s="3"/>
      <c r="AG465" s="3"/>
    </row>
    <row r="466" customFormat="false" ht="15.75" hidden="false" customHeight="false" outlineLevel="0" collapsed="false">
      <c r="A466" s="3"/>
      <c r="B466" s="3"/>
      <c r="C466" s="4"/>
      <c r="D466" s="4"/>
      <c r="E466" s="5"/>
      <c r="F466" s="6"/>
      <c r="N466" s="7"/>
      <c r="W466" s="4"/>
      <c r="X466" s="4"/>
      <c r="Z466" s="7"/>
      <c r="AA466" s="4"/>
      <c r="AB466" s="3"/>
      <c r="AC466" s="3"/>
      <c r="AD466" s="3"/>
      <c r="AE466" s="3"/>
      <c r="AF466" s="3"/>
      <c r="AG466" s="3"/>
    </row>
    <row r="467" customFormat="false" ht="15.75" hidden="false" customHeight="false" outlineLevel="0" collapsed="false">
      <c r="A467" s="3"/>
      <c r="B467" s="3"/>
      <c r="C467" s="4"/>
      <c r="D467" s="4"/>
      <c r="E467" s="5"/>
      <c r="F467" s="6"/>
      <c r="N467" s="7"/>
      <c r="W467" s="4"/>
      <c r="X467" s="4"/>
      <c r="Z467" s="7"/>
      <c r="AA467" s="4"/>
      <c r="AB467" s="3"/>
      <c r="AC467" s="3"/>
      <c r="AD467" s="3"/>
      <c r="AE467" s="3"/>
      <c r="AF467" s="3"/>
      <c r="AG467" s="3"/>
    </row>
    <row r="468" customFormat="false" ht="15.75" hidden="false" customHeight="false" outlineLevel="0" collapsed="false">
      <c r="A468" s="3"/>
      <c r="B468" s="3"/>
      <c r="C468" s="4"/>
      <c r="D468" s="4"/>
      <c r="E468" s="5"/>
      <c r="F468" s="6"/>
      <c r="N468" s="7"/>
      <c r="W468" s="4"/>
      <c r="X468" s="4"/>
      <c r="Z468" s="7"/>
      <c r="AA468" s="4"/>
      <c r="AB468" s="3"/>
      <c r="AC468" s="3"/>
      <c r="AD468" s="3"/>
      <c r="AE468" s="3"/>
      <c r="AF468" s="3"/>
      <c r="AG468" s="3"/>
    </row>
    <row r="469" customFormat="false" ht="15.75" hidden="false" customHeight="false" outlineLevel="0" collapsed="false">
      <c r="A469" s="3"/>
      <c r="B469" s="3"/>
      <c r="C469" s="4"/>
      <c r="D469" s="4"/>
      <c r="E469" s="5"/>
      <c r="F469" s="6"/>
      <c r="N469" s="7"/>
      <c r="W469" s="4"/>
      <c r="X469" s="4"/>
      <c r="Z469" s="7"/>
      <c r="AA469" s="4"/>
      <c r="AB469" s="3"/>
      <c r="AC469" s="3"/>
      <c r="AD469" s="3"/>
      <c r="AE469" s="3"/>
      <c r="AF469" s="3"/>
      <c r="AG469" s="3"/>
    </row>
    <row r="470" customFormat="false" ht="15.75" hidden="false" customHeight="false" outlineLevel="0" collapsed="false">
      <c r="A470" s="3"/>
      <c r="B470" s="3"/>
      <c r="C470" s="4"/>
      <c r="D470" s="4"/>
      <c r="E470" s="5"/>
      <c r="F470" s="6"/>
      <c r="N470" s="7"/>
      <c r="W470" s="4"/>
      <c r="X470" s="4"/>
      <c r="Z470" s="7"/>
      <c r="AA470" s="4"/>
      <c r="AB470" s="3"/>
      <c r="AC470" s="3"/>
      <c r="AD470" s="3"/>
      <c r="AE470" s="3"/>
      <c r="AF470" s="3"/>
      <c r="AG470" s="3"/>
    </row>
    <row r="471" customFormat="false" ht="15.75" hidden="false" customHeight="false" outlineLevel="0" collapsed="false">
      <c r="A471" s="3"/>
      <c r="B471" s="3"/>
      <c r="C471" s="4"/>
      <c r="D471" s="4"/>
      <c r="E471" s="5"/>
      <c r="F471" s="6"/>
      <c r="N471" s="7"/>
      <c r="W471" s="4"/>
      <c r="X471" s="4"/>
      <c r="Z471" s="7"/>
      <c r="AA471" s="4"/>
      <c r="AB471" s="3"/>
      <c r="AC471" s="3"/>
      <c r="AD471" s="3"/>
      <c r="AE471" s="3"/>
      <c r="AF471" s="3"/>
      <c r="AG471" s="3"/>
    </row>
    <row r="472" customFormat="false" ht="15.75" hidden="false" customHeight="false" outlineLevel="0" collapsed="false">
      <c r="A472" s="3"/>
      <c r="B472" s="3"/>
      <c r="C472" s="4"/>
      <c r="D472" s="4"/>
      <c r="E472" s="5"/>
      <c r="F472" s="6"/>
      <c r="N472" s="7"/>
      <c r="W472" s="4"/>
      <c r="X472" s="4"/>
      <c r="Z472" s="7"/>
      <c r="AA472" s="4"/>
      <c r="AB472" s="3"/>
      <c r="AC472" s="3"/>
      <c r="AD472" s="3"/>
      <c r="AE472" s="3"/>
      <c r="AF472" s="3"/>
      <c r="AG472" s="3"/>
    </row>
    <row r="473" customFormat="false" ht="15.75" hidden="false" customHeight="false" outlineLevel="0" collapsed="false">
      <c r="A473" s="3"/>
      <c r="B473" s="3"/>
      <c r="C473" s="4"/>
      <c r="D473" s="4"/>
      <c r="E473" s="5"/>
      <c r="F473" s="6"/>
      <c r="N473" s="7"/>
      <c r="W473" s="4"/>
      <c r="X473" s="4"/>
      <c r="Z473" s="7"/>
      <c r="AA473" s="4"/>
      <c r="AB473" s="3"/>
      <c r="AC473" s="3"/>
      <c r="AD473" s="3"/>
      <c r="AE473" s="3"/>
      <c r="AF473" s="3"/>
      <c r="AG473" s="3"/>
    </row>
    <row r="474" customFormat="false" ht="15.75" hidden="false" customHeight="false" outlineLevel="0" collapsed="false">
      <c r="A474" s="3"/>
      <c r="B474" s="3"/>
      <c r="C474" s="4"/>
      <c r="D474" s="4"/>
      <c r="E474" s="5"/>
      <c r="F474" s="6"/>
      <c r="N474" s="7"/>
      <c r="W474" s="4"/>
      <c r="X474" s="4"/>
      <c r="Z474" s="7"/>
      <c r="AA474" s="4"/>
      <c r="AB474" s="3"/>
      <c r="AC474" s="3"/>
      <c r="AD474" s="3"/>
      <c r="AE474" s="3"/>
      <c r="AF474" s="3"/>
      <c r="AG474" s="3"/>
    </row>
    <row r="475" customFormat="false" ht="15.75" hidden="false" customHeight="false" outlineLevel="0" collapsed="false">
      <c r="A475" s="3"/>
      <c r="B475" s="3"/>
      <c r="C475" s="4"/>
      <c r="D475" s="4"/>
      <c r="E475" s="5"/>
      <c r="F475" s="6"/>
      <c r="N475" s="7"/>
      <c r="W475" s="4"/>
      <c r="X475" s="4"/>
      <c r="Z475" s="7"/>
      <c r="AA475" s="4"/>
      <c r="AB475" s="3"/>
      <c r="AC475" s="3"/>
      <c r="AD475" s="3"/>
      <c r="AE475" s="3"/>
      <c r="AF475" s="3"/>
      <c r="AG475" s="3"/>
    </row>
    <row r="476" customFormat="false" ht="15.75" hidden="false" customHeight="false" outlineLevel="0" collapsed="false">
      <c r="A476" s="3"/>
      <c r="B476" s="3"/>
      <c r="C476" s="4"/>
      <c r="D476" s="4"/>
      <c r="E476" s="5"/>
      <c r="F476" s="6"/>
      <c r="N476" s="7"/>
      <c r="W476" s="4"/>
      <c r="X476" s="4"/>
      <c r="Z476" s="7"/>
      <c r="AA476" s="4"/>
      <c r="AB476" s="3"/>
      <c r="AC476" s="3"/>
      <c r="AD476" s="3"/>
      <c r="AE476" s="3"/>
      <c r="AF476" s="3"/>
      <c r="AG476" s="3"/>
    </row>
    <row r="477" customFormat="false" ht="15.75" hidden="false" customHeight="false" outlineLevel="0" collapsed="false">
      <c r="A477" s="3"/>
      <c r="B477" s="3"/>
      <c r="C477" s="4"/>
      <c r="D477" s="4"/>
      <c r="E477" s="5"/>
      <c r="F477" s="6"/>
      <c r="N477" s="7"/>
      <c r="W477" s="4"/>
      <c r="X477" s="4"/>
      <c r="Z477" s="7"/>
      <c r="AA477" s="4"/>
      <c r="AB477" s="3"/>
      <c r="AC477" s="3"/>
      <c r="AD477" s="3"/>
      <c r="AE477" s="3"/>
      <c r="AF477" s="3"/>
      <c r="AG477" s="3"/>
    </row>
    <row r="478" customFormat="false" ht="15.75" hidden="false" customHeight="false" outlineLevel="0" collapsed="false">
      <c r="A478" s="3"/>
      <c r="B478" s="3"/>
      <c r="C478" s="4"/>
      <c r="D478" s="4"/>
      <c r="E478" s="5"/>
      <c r="F478" s="6"/>
      <c r="N478" s="7"/>
      <c r="W478" s="4"/>
      <c r="X478" s="4"/>
      <c r="Z478" s="7"/>
      <c r="AA478" s="4"/>
      <c r="AB478" s="3"/>
      <c r="AC478" s="3"/>
      <c r="AD478" s="3"/>
      <c r="AE478" s="3"/>
      <c r="AF478" s="3"/>
      <c r="AG478" s="3"/>
    </row>
    <row r="479" customFormat="false" ht="15.75" hidden="false" customHeight="false" outlineLevel="0" collapsed="false">
      <c r="A479" s="3"/>
      <c r="B479" s="3"/>
      <c r="C479" s="4"/>
      <c r="D479" s="4"/>
      <c r="E479" s="5"/>
      <c r="F479" s="6"/>
      <c r="N479" s="7"/>
      <c r="W479" s="4"/>
      <c r="X479" s="4"/>
      <c r="Z479" s="7"/>
      <c r="AA479" s="4"/>
      <c r="AB479" s="3"/>
      <c r="AC479" s="3"/>
      <c r="AD479" s="3"/>
      <c r="AE479" s="3"/>
      <c r="AF479" s="3"/>
      <c r="AG479" s="3"/>
    </row>
    <row r="480" customFormat="false" ht="15.75" hidden="false" customHeight="false" outlineLevel="0" collapsed="false">
      <c r="A480" s="3"/>
      <c r="B480" s="3"/>
      <c r="C480" s="4"/>
      <c r="D480" s="4"/>
      <c r="E480" s="5"/>
      <c r="F480" s="6"/>
      <c r="N480" s="7"/>
      <c r="W480" s="4"/>
      <c r="X480" s="4"/>
      <c r="Z480" s="7"/>
      <c r="AA480" s="4"/>
      <c r="AB480" s="3"/>
      <c r="AC480" s="3"/>
      <c r="AD480" s="3"/>
      <c r="AE480" s="3"/>
      <c r="AF480" s="3"/>
      <c r="AG480" s="3"/>
    </row>
    <row r="481" customFormat="false" ht="15.75" hidden="false" customHeight="false" outlineLevel="0" collapsed="false">
      <c r="A481" s="3"/>
      <c r="B481" s="3"/>
      <c r="C481" s="4"/>
      <c r="D481" s="4"/>
      <c r="E481" s="5"/>
      <c r="F481" s="6"/>
      <c r="N481" s="7"/>
      <c r="W481" s="4"/>
      <c r="X481" s="4"/>
      <c r="Z481" s="7"/>
      <c r="AA481" s="4"/>
      <c r="AB481" s="3"/>
      <c r="AC481" s="3"/>
      <c r="AD481" s="3"/>
      <c r="AE481" s="3"/>
      <c r="AF481" s="3"/>
      <c r="AG481" s="3"/>
    </row>
    <row r="482" customFormat="false" ht="15.75" hidden="false" customHeight="false" outlineLevel="0" collapsed="false">
      <c r="A482" s="3"/>
      <c r="B482" s="3"/>
      <c r="C482" s="4"/>
      <c r="D482" s="4"/>
      <c r="E482" s="5"/>
      <c r="F482" s="6"/>
      <c r="N482" s="7"/>
      <c r="W482" s="4"/>
      <c r="X482" s="4"/>
      <c r="Z482" s="7"/>
      <c r="AA482" s="4"/>
      <c r="AB482" s="3"/>
      <c r="AC482" s="3"/>
      <c r="AD482" s="3"/>
      <c r="AE482" s="3"/>
      <c r="AF482" s="3"/>
      <c r="AG482" s="3"/>
    </row>
    <row r="483" customFormat="false" ht="15.75" hidden="false" customHeight="false" outlineLevel="0" collapsed="false">
      <c r="A483" s="3"/>
      <c r="B483" s="3"/>
      <c r="C483" s="4"/>
      <c r="D483" s="4"/>
      <c r="E483" s="5"/>
      <c r="F483" s="6"/>
      <c r="N483" s="7"/>
      <c r="W483" s="4"/>
      <c r="X483" s="4"/>
      <c r="Z483" s="7"/>
      <c r="AA483" s="4"/>
      <c r="AB483" s="3"/>
      <c r="AC483" s="3"/>
      <c r="AD483" s="3"/>
      <c r="AE483" s="3"/>
      <c r="AF483" s="3"/>
      <c r="AG483" s="3"/>
    </row>
    <row r="484" customFormat="false" ht="15.75" hidden="false" customHeight="false" outlineLevel="0" collapsed="false">
      <c r="A484" s="3"/>
      <c r="B484" s="3"/>
      <c r="C484" s="4"/>
      <c r="D484" s="4"/>
      <c r="E484" s="5"/>
      <c r="F484" s="6"/>
      <c r="N484" s="7"/>
      <c r="W484" s="4"/>
      <c r="X484" s="4"/>
      <c r="Z484" s="7"/>
      <c r="AA484" s="4"/>
      <c r="AB484" s="3"/>
      <c r="AC484" s="3"/>
      <c r="AD484" s="3"/>
      <c r="AE484" s="3"/>
      <c r="AF484" s="3"/>
      <c r="AG484" s="3"/>
    </row>
    <row r="485" customFormat="false" ht="15.75" hidden="false" customHeight="false" outlineLevel="0" collapsed="false">
      <c r="A485" s="3"/>
      <c r="B485" s="3"/>
      <c r="C485" s="4"/>
      <c r="D485" s="4"/>
      <c r="E485" s="5"/>
      <c r="F485" s="6"/>
      <c r="N485" s="7"/>
      <c r="W485" s="4"/>
      <c r="X485" s="4"/>
      <c r="Z485" s="7"/>
      <c r="AA485" s="4"/>
      <c r="AB485" s="3"/>
      <c r="AC485" s="3"/>
      <c r="AD485" s="3"/>
      <c r="AE485" s="3"/>
      <c r="AF485" s="3"/>
      <c r="AG485" s="3"/>
    </row>
    <row r="486" customFormat="false" ht="15.75" hidden="false" customHeight="false" outlineLevel="0" collapsed="false">
      <c r="A486" s="3"/>
      <c r="B486" s="3"/>
      <c r="C486" s="4"/>
      <c r="D486" s="4"/>
      <c r="E486" s="5"/>
      <c r="F486" s="6"/>
      <c r="N486" s="7"/>
      <c r="W486" s="4"/>
      <c r="X486" s="4"/>
      <c r="Z486" s="7"/>
      <c r="AA486" s="4"/>
      <c r="AB486" s="3"/>
      <c r="AC486" s="3"/>
      <c r="AD486" s="3"/>
      <c r="AE486" s="3"/>
      <c r="AF486" s="3"/>
      <c r="AG486" s="3"/>
    </row>
    <row r="487" customFormat="false" ht="15.75" hidden="false" customHeight="false" outlineLevel="0" collapsed="false">
      <c r="A487" s="3"/>
      <c r="B487" s="3"/>
      <c r="C487" s="4"/>
      <c r="D487" s="4"/>
      <c r="E487" s="5"/>
      <c r="F487" s="6"/>
      <c r="N487" s="7"/>
      <c r="W487" s="4"/>
      <c r="X487" s="4"/>
      <c r="Z487" s="7"/>
      <c r="AA487" s="4"/>
      <c r="AB487" s="3"/>
      <c r="AC487" s="3"/>
      <c r="AD487" s="3"/>
      <c r="AE487" s="3"/>
      <c r="AF487" s="3"/>
      <c r="AG487" s="3"/>
    </row>
    <row r="488" customFormat="false" ht="15.75" hidden="false" customHeight="false" outlineLevel="0" collapsed="false">
      <c r="A488" s="3"/>
      <c r="B488" s="3"/>
      <c r="C488" s="4"/>
      <c r="D488" s="4"/>
      <c r="E488" s="5"/>
      <c r="F488" s="6"/>
      <c r="N488" s="7"/>
      <c r="W488" s="4"/>
      <c r="X488" s="4"/>
      <c r="Z488" s="7"/>
      <c r="AA488" s="4"/>
      <c r="AB488" s="3"/>
      <c r="AC488" s="3"/>
      <c r="AD488" s="3"/>
      <c r="AE488" s="3"/>
      <c r="AF488" s="3"/>
      <c r="AG488" s="3"/>
    </row>
    <row r="489" customFormat="false" ht="15.75" hidden="false" customHeight="false" outlineLevel="0" collapsed="false">
      <c r="A489" s="3"/>
      <c r="B489" s="3"/>
      <c r="C489" s="4"/>
      <c r="D489" s="4"/>
      <c r="E489" s="5"/>
      <c r="F489" s="6"/>
      <c r="N489" s="7"/>
      <c r="W489" s="4"/>
      <c r="X489" s="4"/>
      <c r="Z489" s="7"/>
      <c r="AA489" s="4"/>
      <c r="AB489" s="3"/>
      <c r="AC489" s="3"/>
      <c r="AD489" s="3"/>
      <c r="AE489" s="3"/>
      <c r="AF489" s="3"/>
      <c r="AG489" s="3"/>
    </row>
    <row r="490" customFormat="false" ht="15.75" hidden="false" customHeight="false" outlineLevel="0" collapsed="false">
      <c r="A490" s="3"/>
      <c r="B490" s="3"/>
      <c r="C490" s="4"/>
      <c r="D490" s="4"/>
      <c r="E490" s="5"/>
      <c r="F490" s="6"/>
      <c r="N490" s="7"/>
      <c r="W490" s="4"/>
      <c r="X490" s="4"/>
      <c r="Z490" s="7"/>
      <c r="AA490" s="4"/>
      <c r="AB490" s="3"/>
      <c r="AC490" s="3"/>
      <c r="AD490" s="3"/>
      <c r="AE490" s="3"/>
      <c r="AF490" s="3"/>
      <c r="AG490" s="3"/>
    </row>
    <row r="491" customFormat="false" ht="15.75" hidden="false" customHeight="false" outlineLevel="0" collapsed="false">
      <c r="A491" s="3"/>
      <c r="B491" s="3"/>
      <c r="C491" s="4"/>
      <c r="D491" s="4"/>
      <c r="E491" s="5"/>
      <c r="F491" s="6"/>
      <c r="N491" s="7"/>
      <c r="W491" s="4"/>
      <c r="X491" s="4"/>
      <c r="Z491" s="7"/>
      <c r="AA491" s="4"/>
      <c r="AB491" s="3"/>
      <c r="AC491" s="3"/>
      <c r="AD491" s="3"/>
      <c r="AE491" s="3"/>
      <c r="AF491" s="3"/>
      <c r="AG491" s="3"/>
    </row>
    <row r="492" customFormat="false" ht="15.75" hidden="false" customHeight="false" outlineLevel="0" collapsed="false">
      <c r="A492" s="3"/>
      <c r="B492" s="3"/>
      <c r="C492" s="4"/>
      <c r="D492" s="4"/>
      <c r="E492" s="5"/>
      <c r="F492" s="6"/>
      <c r="N492" s="7"/>
      <c r="W492" s="4"/>
      <c r="X492" s="4"/>
      <c r="Z492" s="7"/>
      <c r="AA492" s="4"/>
      <c r="AB492" s="3"/>
      <c r="AC492" s="3"/>
      <c r="AD492" s="3"/>
      <c r="AE492" s="3"/>
      <c r="AF492" s="3"/>
      <c r="AG492" s="3"/>
    </row>
    <row r="493" customFormat="false" ht="15.75" hidden="false" customHeight="false" outlineLevel="0" collapsed="false">
      <c r="A493" s="3"/>
      <c r="B493" s="3"/>
      <c r="C493" s="4"/>
      <c r="D493" s="4"/>
      <c r="E493" s="5"/>
      <c r="F493" s="6"/>
      <c r="N493" s="7"/>
      <c r="W493" s="4"/>
      <c r="X493" s="4"/>
      <c r="Z493" s="7"/>
      <c r="AA493" s="4"/>
      <c r="AB493" s="3"/>
      <c r="AC493" s="3"/>
      <c r="AD493" s="3"/>
      <c r="AE493" s="3"/>
      <c r="AF493" s="3"/>
      <c r="AG493" s="3"/>
    </row>
    <row r="494" customFormat="false" ht="15.75" hidden="false" customHeight="false" outlineLevel="0" collapsed="false">
      <c r="A494" s="3"/>
      <c r="B494" s="3"/>
      <c r="C494" s="4"/>
      <c r="D494" s="4"/>
      <c r="E494" s="5"/>
      <c r="F494" s="6"/>
      <c r="N494" s="7"/>
      <c r="W494" s="4"/>
      <c r="X494" s="4"/>
      <c r="Z494" s="7"/>
      <c r="AA494" s="4"/>
      <c r="AB494" s="3"/>
      <c r="AC494" s="3"/>
      <c r="AD494" s="3"/>
      <c r="AE494" s="3"/>
      <c r="AF494" s="3"/>
      <c r="AG494" s="3"/>
    </row>
    <row r="495" customFormat="false" ht="15.75" hidden="false" customHeight="false" outlineLevel="0" collapsed="false">
      <c r="A495" s="3"/>
      <c r="B495" s="3"/>
      <c r="C495" s="4"/>
      <c r="D495" s="4"/>
      <c r="E495" s="5"/>
      <c r="F495" s="6"/>
      <c r="N495" s="7"/>
      <c r="W495" s="4"/>
      <c r="X495" s="4"/>
      <c r="Z495" s="7"/>
      <c r="AA495" s="4"/>
      <c r="AB495" s="3"/>
      <c r="AC495" s="3"/>
      <c r="AD495" s="3"/>
      <c r="AE495" s="3"/>
      <c r="AF495" s="3"/>
      <c r="AG495" s="3"/>
    </row>
    <row r="496" customFormat="false" ht="15.75" hidden="false" customHeight="false" outlineLevel="0" collapsed="false">
      <c r="A496" s="3"/>
      <c r="B496" s="3"/>
      <c r="C496" s="4"/>
      <c r="D496" s="4"/>
      <c r="E496" s="5"/>
      <c r="F496" s="6"/>
      <c r="N496" s="7"/>
      <c r="W496" s="4"/>
      <c r="X496" s="4"/>
      <c r="Z496" s="7"/>
      <c r="AA496" s="4"/>
      <c r="AB496" s="3"/>
      <c r="AC496" s="3"/>
      <c r="AD496" s="3"/>
      <c r="AE496" s="3"/>
      <c r="AF496" s="3"/>
      <c r="AG496" s="3"/>
    </row>
    <row r="497" customFormat="false" ht="15.75" hidden="false" customHeight="false" outlineLevel="0" collapsed="false">
      <c r="A497" s="3"/>
      <c r="B497" s="3"/>
      <c r="C497" s="4"/>
      <c r="D497" s="4"/>
      <c r="E497" s="5"/>
      <c r="F497" s="6"/>
      <c r="N497" s="7"/>
      <c r="W497" s="4"/>
      <c r="X497" s="4"/>
      <c r="Z497" s="7"/>
      <c r="AA497" s="4"/>
      <c r="AB497" s="3"/>
      <c r="AC497" s="3"/>
      <c r="AD497" s="3"/>
      <c r="AE497" s="3"/>
      <c r="AF497" s="3"/>
      <c r="AG497" s="3"/>
    </row>
    <row r="498" customFormat="false" ht="15.75" hidden="false" customHeight="false" outlineLevel="0" collapsed="false">
      <c r="A498" s="3"/>
      <c r="B498" s="3"/>
      <c r="C498" s="4"/>
      <c r="D498" s="4"/>
      <c r="E498" s="5"/>
      <c r="F498" s="6"/>
      <c r="N498" s="7"/>
      <c r="W498" s="4"/>
      <c r="X498" s="4"/>
      <c r="Z498" s="7"/>
      <c r="AA498" s="4"/>
      <c r="AB498" s="3"/>
      <c r="AC498" s="3"/>
      <c r="AD498" s="3"/>
      <c r="AE498" s="3"/>
      <c r="AF498" s="3"/>
      <c r="AG498" s="3"/>
    </row>
    <row r="499" customFormat="false" ht="15.75" hidden="false" customHeight="false" outlineLevel="0" collapsed="false">
      <c r="A499" s="3"/>
      <c r="B499" s="3"/>
      <c r="C499" s="4"/>
      <c r="D499" s="4"/>
      <c r="E499" s="5"/>
      <c r="F499" s="6"/>
      <c r="N499" s="7"/>
      <c r="W499" s="4"/>
      <c r="X499" s="4"/>
      <c r="Z499" s="7"/>
      <c r="AA499" s="4"/>
      <c r="AB499" s="3"/>
      <c r="AC499" s="3"/>
      <c r="AD499" s="3"/>
      <c r="AE499" s="3"/>
      <c r="AF499" s="3"/>
      <c r="AG499" s="3"/>
    </row>
    <row r="500" customFormat="false" ht="15.75" hidden="false" customHeight="false" outlineLevel="0" collapsed="false">
      <c r="A500" s="3"/>
      <c r="B500" s="3"/>
      <c r="C500" s="4"/>
      <c r="D500" s="4"/>
      <c r="E500" s="5"/>
      <c r="F500" s="6"/>
      <c r="N500" s="7"/>
      <c r="W500" s="4"/>
      <c r="X500" s="4"/>
      <c r="Z500" s="7"/>
      <c r="AA500" s="4"/>
      <c r="AB500" s="3"/>
      <c r="AC500" s="3"/>
      <c r="AD500" s="3"/>
      <c r="AE500" s="3"/>
      <c r="AF500" s="3"/>
      <c r="AG500" s="3"/>
    </row>
    <row r="501" customFormat="false" ht="15.75" hidden="false" customHeight="false" outlineLevel="0" collapsed="false">
      <c r="A501" s="3"/>
      <c r="B501" s="3"/>
      <c r="C501" s="4"/>
      <c r="D501" s="4"/>
      <c r="E501" s="5"/>
      <c r="F501" s="6"/>
      <c r="N501" s="7"/>
      <c r="W501" s="4"/>
      <c r="X501" s="4"/>
      <c r="Z501" s="7"/>
      <c r="AA501" s="4"/>
      <c r="AB501" s="3"/>
      <c r="AC501" s="3"/>
      <c r="AD501" s="3"/>
      <c r="AE501" s="3"/>
      <c r="AF501" s="3"/>
      <c r="AG501" s="3"/>
    </row>
    <row r="502" customFormat="false" ht="15.75" hidden="false" customHeight="false" outlineLevel="0" collapsed="false">
      <c r="A502" s="3"/>
      <c r="B502" s="3"/>
      <c r="C502" s="4"/>
      <c r="D502" s="4"/>
      <c r="E502" s="5"/>
      <c r="F502" s="6"/>
      <c r="N502" s="7"/>
      <c r="W502" s="4"/>
      <c r="X502" s="4"/>
      <c r="Z502" s="7"/>
      <c r="AA502" s="4"/>
      <c r="AB502" s="3"/>
      <c r="AC502" s="3"/>
      <c r="AD502" s="3"/>
      <c r="AE502" s="3"/>
      <c r="AF502" s="3"/>
      <c r="AG502" s="3"/>
    </row>
    <row r="503" customFormat="false" ht="15.75" hidden="false" customHeight="false" outlineLevel="0" collapsed="false">
      <c r="A503" s="3"/>
      <c r="B503" s="3"/>
      <c r="C503" s="4"/>
      <c r="D503" s="4"/>
      <c r="E503" s="5"/>
      <c r="F503" s="6"/>
      <c r="N503" s="7"/>
      <c r="W503" s="4"/>
      <c r="X503" s="4"/>
      <c r="Z503" s="7"/>
      <c r="AA503" s="4"/>
      <c r="AB503" s="3"/>
      <c r="AC503" s="3"/>
      <c r="AD503" s="3"/>
      <c r="AE503" s="3"/>
      <c r="AF503" s="3"/>
      <c r="AG503" s="3"/>
    </row>
    <row r="504" customFormat="false" ht="15.75" hidden="false" customHeight="false" outlineLevel="0" collapsed="false">
      <c r="A504" s="3"/>
      <c r="B504" s="3"/>
      <c r="C504" s="4"/>
      <c r="D504" s="4"/>
      <c r="E504" s="5"/>
      <c r="F504" s="6"/>
      <c r="N504" s="7"/>
      <c r="W504" s="4"/>
      <c r="X504" s="4"/>
      <c r="Z504" s="7"/>
      <c r="AA504" s="4"/>
      <c r="AB504" s="3"/>
      <c r="AC504" s="3"/>
      <c r="AD504" s="3"/>
      <c r="AE504" s="3"/>
      <c r="AF504" s="3"/>
      <c r="AG504" s="3"/>
    </row>
    <row r="505" customFormat="false" ht="15.75" hidden="false" customHeight="false" outlineLevel="0" collapsed="false">
      <c r="A505" s="3"/>
      <c r="B505" s="3"/>
      <c r="C505" s="4"/>
      <c r="D505" s="4"/>
      <c r="E505" s="5"/>
      <c r="F505" s="6"/>
      <c r="N505" s="7"/>
      <c r="W505" s="4"/>
      <c r="X505" s="4"/>
      <c r="Z505" s="7"/>
      <c r="AA505" s="4"/>
      <c r="AB505" s="3"/>
      <c r="AC505" s="3"/>
      <c r="AD505" s="3"/>
      <c r="AE505" s="3"/>
      <c r="AF505" s="3"/>
      <c r="AG505" s="3"/>
    </row>
    <row r="506" customFormat="false" ht="15.75" hidden="false" customHeight="false" outlineLevel="0" collapsed="false">
      <c r="A506" s="3"/>
      <c r="B506" s="3"/>
      <c r="C506" s="4"/>
      <c r="D506" s="4"/>
      <c r="E506" s="5"/>
      <c r="F506" s="6"/>
      <c r="N506" s="7"/>
      <c r="W506" s="4"/>
      <c r="X506" s="4"/>
      <c r="Z506" s="7"/>
      <c r="AA506" s="4"/>
      <c r="AB506" s="3"/>
      <c r="AC506" s="3"/>
      <c r="AD506" s="3"/>
      <c r="AE506" s="3"/>
      <c r="AF506" s="3"/>
      <c r="AG506" s="3"/>
    </row>
    <row r="507" customFormat="false" ht="15.75" hidden="false" customHeight="false" outlineLevel="0" collapsed="false">
      <c r="A507" s="3"/>
      <c r="B507" s="3"/>
      <c r="C507" s="4"/>
      <c r="D507" s="4"/>
      <c r="E507" s="5"/>
      <c r="F507" s="6"/>
      <c r="N507" s="7"/>
      <c r="W507" s="4"/>
      <c r="X507" s="4"/>
      <c r="Z507" s="7"/>
      <c r="AA507" s="4"/>
      <c r="AB507" s="3"/>
      <c r="AC507" s="3"/>
      <c r="AD507" s="3"/>
      <c r="AE507" s="3"/>
      <c r="AF507" s="3"/>
      <c r="AG507" s="3"/>
    </row>
    <row r="508" customFormat="false" ht="15.75" hidden="false" customHeight="false" outlineLevel="0" collapsed="false">
      <c r="A508" s="3"/>
      <c r="B508" s="3"/>
      <c r="C508" s="4"/>
      <c r="D508" s="4"/>
      <c r="E508" s="5"/>
      <c r="F508" s="6"/>
      <c r="N508" s="7"/>
      <c r="W508" s="4"/>
      <c r="X508" s="4"/>
      <c r="Z508" s="7"/>
      <c r="AA508" s="4"/>
      <c r="AB508" s="3"/>
      <c r="AC508" s="3"/>
      <c r="AD508" s="3"/>
      <c r="AE508" s="3"/>
      <c r="AF508" s="3"/>
      <c r="AG508" s="3"/>
    </row>
    <row r="509" customFormat="false" ht="15.75" hidden="false" customHeight="false" outlineLevel="0" collapsed="false">
      <c r="A509" s="3"/>
      <c r="B509" s="3"/>
      <c r="C509" s="4"/>
      <c r="D509" s="4"/>
      <c r="E509" s="5"/>
      <c r="F509" s="6"/>
      <c r="N509" s="7"/>
      <c r="W509" s="4"/>
      <c r="X509" s="4"/>
      <c r="Z509" s="7"/>
      <c r="AA509" s="4"/>
      <c r="AB509" s="3"/>
      <c r="AC509" s="3"/>
      <c r="AD509" s="3"/>
      <c r="AE509" s="3"/>
      <c r="AF509" s="3"/>
      <c r="AG509" s="3"/>
    </row>
    <row r="510" customFormat="false" ht="15.75" hidden="false" customHeight="false" outlineLevel="0" collapsed="false">
      <c r="A510" s="3"/>
      <c r="B510" s="3"/>
      <c r="C510" s="4"/>
      <c r="D510" s="4"/>
      <c r="E510" s="5"/>
      <c r="F510" s="6"/>
      <c r="N510" s="7"/>
      <c r="W510" s="4"/>
      <c r="X510" s="4"/>
      <c r="Z510" s="7"/>
      <c r="AA510" s="4"/>
      <c r="AB510" s="3"/>
      <c r="AC510" s="3"/>
      <c r="AD510" s="3"/>
      <c r="AE510" s="3"/>
      <c r="AF510" s="3"/>
      <c r="AG510" s="3"/>
    </row>
    <row r="511" customFormat="false" ht="15.75" hidden="false" customHeight="false" outlineLevel="0" collapsed="false">
      <c r="A511" s="3"/>
      <c r="B511" s="3"/>
      <c r="C511" s="4"/>
      <c r="D511" s="4"/>
      <c r="E511" s="5"/>
      <c r="F511" s="6"/>
      <c r="N511" s="7"/>
      <c r="W511" s="4"/>
      <c r="X511" s="4"/>
      <c r="Z511" s="7"/>
      <c r="AA511" s="4"/>
      <c r="AB511" s="3"/>
      <c r="AC511" s="3"/>
      <c r="AD511" s="3"/>
      <c r="AE511" s="3"/>
      <c r="AF511" s="3"/>
      <c r="AG511" s="3"/>
    </row>
    <row r="512" customFormat="false" ht="15.75" hidden="false" customHeight="false" outlineLevel="0" collapsed="false">
      <c r="A512" s="3"/>
      <c r="B512" s="3"/>
      <c r="C512" s="4"/>
      <c r="D512" s="4"/>
      <c r="E512" s="5"/>
      <c r="F512" s="6"/>
      <c r="N512" s="7"/>
      <c r="W512" s="4"/>
      <c r="X512" s="4"/>
      <c r="Z512" s="7"/>
      <c r="AA512" s="4"/>
      <c r="AB512" s="3"/>
      <c r="AC512" s="3"/>
      <c r="AD512" s="3"/>
      <c r="AE512" s="3"/>
      <c r="AF512" s="3"/>
      <c r="AG512" s="3"/>
    </row>
    <row r="513" customFormat="false" ht="15.75" hidden="false" customHeight="false" outlineLevel="0" collapsed="false">
      <c r="A513" s="3"/>
      <c r="B513" s="3"/>
      <c r="C513" s="4"/>
      <c r="D513" s="4"/>
      <c r="E513" s="5"/>
      <c r="F513" s="6"/>
      <c r="N513" s="7"/>
      <c r="W513" s="4"/>
      <c r="X513" s="4"/>
      <c r="Z513" s="7"/>
      <c r="AA513" s="4"/>
      <c r="AB513" s="3"/>
      <c r="AC513" s="3"/>
      <c r="AD513" s="3"/>
      <c r="AE513" s="3"/>
      <c r="AF513" s="3"/>
      <c r="AG513" s="3"/>
    </row>
    <row r="514" customFormat="false" ht="15.75" hidden="false" customHeight="false" outlineLevel="0" collapsed="false">
      <c r="A514" s="3"/>
      <c r="B514" s="3"/>
      <c r="C514" s="4"/>
      <c r="D514" s="4"/>
      <c r="E514" s="5"/>
      <c r="F514" s="6"/>
      <c r="N514" s="7"/>
      <c r="W514" s="4"/>
      <c r="X514" s="4"/>
      <c r="Z514" s="7"/>
      <c r="AA514" s="4"/>
      <c r="AB514" s="3"/>
      <c r="AC514" s="3"/>
      <c r="AD514" s="3"/>
      <c r="AE514" s="3"/>
      <c r="AF514" s="3"/>
      <c r="AG514" s="3"/>
    </row>
    <row r="515" customFormat="false" ht="15.75" hidden="false" customHeight="false" outlineLevel="0" collapsed="false">
      <c r="A515" s="3"/>
      <c r="B515" s="3"/>
      <c r="C515" s="4"/>
      <c r="D515" s="4"/>
      <c r="E515" s="5"/>
      <c r="F515" s="6"/>
      <c r="N515" s="7"/>
      <c r="W515" s="4"/>
      <c r="X515" s="4"/>
      <c r="Z515" s="7"/>
      <c r="AA515" s="4"/>
      <c r="AB515" s="3"/>
      <c r="AC515" s="3"/>
      <c r="AD515" s="3"/>
      <c r="AE515" s="3"/>
      <c r="AF515" s="3"/>
      <c r="AG515" s="3"/>
    </row>
    <row r="516" customFormat="false" ht="15.75" hidden="false" customHeight="false" outlineLevel="0" collapsed="false">
      <c r="A516" s="3"/>
      <c r="B516" s="3"/>
      <c r="C516" s="4"/>
      <c r="D516" s="4"/>
      <c r="E516" s="5"/>
      <c r="F516" s="6"/>
      <c r="N516" s="7"/>
      <c r="W516" s="4"/>
      <c r="X516" s="4"/>
      <c r="Z516" s="7"/>
      <c r="AA516" s="4"/>
      <c r="AB516" s="3"/>
      <c r="AC516" s="3"/>
      <c r="AD516" s="3"/>
      <c r="AE516" s="3"/>
      <c r="AF516" s="3"/>
      <c r="AG516" s="3"/>
    </row>
    <row r="517" customFormat="false" ht="15.75" hidden="false" customHeight="false" outlineLevel="0" collapsed="false">
      <c r="A517" s="3"/>
      <c r="B517" s="3"/>
      <c r="C517" s="4"/>
      <c r="D517" s="4"/>
      <c r="E517" s="5"/>
      <c r="F517" s="6"/>
      <c r="N517" s="7"/>
      <c r="W517" s="4"/>
      <c r="X517" s="4"/>
      <c r="Z517" s="7"/>
      <c r="AA517" s="4"/>
      <c r="AB517" s="3"/>
      <c r="AC517" s="3"/>
      <c r="AD517" s="3"/>
      <c r="AE517" s="3"/>
      <c r="AF517" s="3"/>
      <c r="AG517" s="3"/>
    </row>
    <row r="518" customFormat="false" ht="15.75" hidden="false" customHeight="false" outlineLevel="0" collapsed="false">
      <c r="A518" s="3"/>
      <c r="B518" s="3"/>
      <c r="C518" s="4"/>
      <c r="D518" s="4"/>
      <c r="E518" s="5"/>
      <c r="F518" s="6"/>
      <c r="N518" s="7"/>
      <c r="W518" s="4"/>
      <c r="X518" s="4"/>
      <c r="Z518" s="7"/>
      <c r="AA518" s="4"/>
      <c r="AB518" s="3"/>
      <c r="AC518" s="3"/>
      <c r="AD518" s="3"/>
      <c r="AE518" s="3"/>
      <c r="AF518" s="3"/>
      <c r="AG518" s="3"/>
    </row>
    <row r="519" customFormat="false" ht="15.75" hidden="false" customHeight="false" outlineLevel="0" collapsed="false">
      <c r="A519" s="3"/>
      <c r="B519" s="3"/>
      <c r="C519" s="4"/>
      <c r="D519" s="4"/>
      <c r="E519" s="5"/>
      <c r="F519" s="6"/>
      <c r="N519" s="7"/>
      <c r="W519" s="4"/>
      <c r="X519" s="4"/>
      <c r="Z519" s="7"/>
      <c r="AA519" s="4"/>
      <c r="AB519" s="3"/>
      <c r="AC519" s="3"/>
      <c r="AD519" s="3"/>
      <c r="AE519" s="3"/>
      <c r="AF519" s="3"/>
      <c r="AG519" s="3"/>
    </row>
    <row r="520" customFormat="false" ht="15.75" hidden="false" customHeight="false" outlineLevel="0" collapsed="false">
      <c r="A520" s="3"/>
      <c r="B520" s="3"/>
      <c r="C520" s="4"/>
      <c r="D520" s="4"/>
      <c r="E520" s="5"/>
      <c r="F520" s="6"/>
      <c r="N520" s="7"/>
      <c r="W520" s="4"/>
      <c r="X520" s="4"/>
      <c r="Z520" s="7"/>
      <c r="AA520" s="4"/>
      <c r="AB520" s="3"/>
      <c r="AC520" s="3"/>
      <c r="AD520" s="3"/>
      <c r="AE520" s="3"/>
      <c r="AF520" s="3"/>
      <c r="AG520" s="3"/>
    </row>
    <row r="521" customFormat="false" ht="15.75" hidden="false" customHeight="false" outlineLevel="0" collapsed="false">
      <c r="A521" s="3"/>
      <c r="B521" s="3"/>
      <c r="C521" s="4"/>
      <c r="D521" s="4"/>
      <c r="E521" s="5"/>
      <c r="F521" s="6"/>
      <c r="N521" s="7"/>
      <c r="W521" s="4"/>
      <c r="X521" s="4"/>
      <c r="Z521" s="7"/>
      <c r="AA521" s="4"/>
      <c r="AB521" s="3"/>
      <c r="AC521" s="3"/>
      <c r="AD521" s="3"/>
      <c r="AE521" s="3"/>
      <c r="AF521" s="3"/>
      <c r="AG521" s="3"/>
    </row>
    <row r="522" customFormat="false" ht="15.75" hidden="false" customHeight="false" outlineLevel="0" collapsed="false">
      <c r="A522" s="3"/>
      <c r="B522" s="3"/>
      <c r="C522" s="4"/>
      <c r="D522" s="4"/>
      <c r="E522" s="5"/>
      <c r="F522" s="6"/>
      <c r="N522" s="7"/>
      <c r="W522" s="4"/>
      <c r="X522" s="4"/>
      <c r="Z522" s="7"/>
      <c r="AA522" s="4"/>
      <c r="AB522" s="3"/>
      <c r="AC522" s="3"/>
      <c r="AD522" s="3"/>
      <c r="AE522" s="3"/>
      <c r="AF522" s="3"/>
      <c r="AG522" s="3"/>
    </row>
    <row r="523" customFormat="false" ht="15.75" hidden="false" customHeight="false" outlineLevel="0" collapsed="false">
      <c r="A523" s="3"/>
      <c r="B523" s="3"/>
      <c r="C523" s="4"/>
      <c r="D523" s="4"/>
      <c r="E523" s="5"/>
      <c r="F523" s="6"/>
      <c r="N523" s="7"/>
      <c r="W523" s="4"/>
      <c r="X523" s="4"/>
      <c r="Z523" s="7"/>
      <c r="AA523" s="4"/>
      <c r="AB523" s="3"/>
      <c r="AC523" s="3"/>
      <c r="AD523" s="3"/>
      <c r="AE523" s="3"/>
      <c r="AF523" s="3"/>
      <c r="AG523" s="3"/>
    </row>
    <row r="524" customFormat="false" ht="15.75" hidden="false" customHeight="false" outlineLevel="0" collapsed="false">
      <c r="A524" s="3"/>
      <c r="B524" s="3"/>
      <c r="C524" s="4"/>
      <c r="D524" s="4"/>
      <c r="E524" s="5"/>
      <c r="F524" s="6"/>
      <c r="N524" s="7"/>
      <c r="W524" s="4"/>
      <c r="X524" s="4"/>
      <c r="Z524" s="7"/>
      <c r="AA524" s="4"/>
      <c r="AB524" s="3"/>
      <c r="AC524" s="3"/>
      <c r="AD524" s="3"/>
      <c r="AE524" s="3"/>
      <c r="AF524" s="3"/>
      <c r="AG524" s="3"/>
    </row>
    <row r="525" customFormat="false" ht="15.75" hidden="false" customHeight="false" outlineLevel="0" collapsed="false">
      <c r="A525" s="3"/>
      <c r="B525" s="3"/>
      <c r="C525" s="4"/>
      <c r="D525" s="4"/>
      <c r="E525" s="5"/>
      <c r="F525" s="6"/>
      <c r="N525" s="7"/>
      <c r="W525" s="4"/>
      <c r="X525" s="4"/>
      <c r="Z525" s="7"/>
      <c r="AA525" s="4"/>
      <c r="AB525" s="3"/>
      <c r="AC525" s="3"/>
      <c r="AD525" s="3"/>
      <c r="AE525" s="3"/>
      <c r="AF525" s="3"/>
      <c r="AG525" s="3"/>
    </row>
    <row r="526" customFormat="false" ht="15.75" hidden="false" customHeight="false" outlineLevel="0" collapsed="false">
      <c r="A526" s="3"/>
      <c r="B526" s="3"/>
      <c r="C526" s="4"/>
      <c r="D526" s="4"/>
      <c r="E526" s="5"/>
      <c r="F526" s="6"/>
      <c r="N526" s="7"/>
      <c r="W526" s="4"/>
      <c r="X526" s="4"/>
      <c r="Z526" s="7"/>
      <c r="AA526" s="4"/>
      <c r="AB526" s="3"/>
      <c r="AC526" s="3"/>
      <c r="AD526" s="3"/>
      <c r="AE526" s="3"/>
      <c r="AF526" s="3"/>
      <c r="AG526" s="3"/>
    </row>
    <row r="527" customFormat="false" ht="15.75" hidden="false" customHeight="false" outlineLevel="0" collapsed="false">
      <c r="A527" s="3"/>
      <c r="B527" s="3"/>
      <c r="C527" s="4"/>
      <c r="D527" s="4"/>
      <c r="E527" s="5"/>
      <c r="F527" s="6"/>
      <c r="N527" s="7"/>
      <c r="W527" s="4"/>
      <c r="X527" s="4"/>
      <c r="Z527" s="7"/>
      <c r="AA527" s="4"/>
      <c r="AB527" s="3"/>
      <c r="AC527" s="3"/>
      <c r="AD527" s="3"/>
      <c r="AE527" s="3"/>
      <c r="AF527" s="3"/>
      <c r="AG527" s="3"/>
    </row>
    <row r="528" customFormat="false" ht="15.75" hidden="false" customHeight="false" outlineLevel="0" collapsed="false">
      <c r="A528" s="3"/>
      <c r="B528" s="3"/>
      <c r="C528" s="4"/>
      <c r="D528" s="4"/>
      <c r="E528" s="5"/>
      <c r="F528" s="6"/>
      <c r="N528" s="7"/>
      <c r="W528" s="4"/>
      <c r="X528" s="4"/>
      <c r="Z528" s="7"/>
      <c r="AA528" s="4"/>
      <c r="AB528" s="3"/>
      <c r="AC528" s="3"/>
      <c r="AD528" s="3"/>
      <c r="AE528" s="3"/>
      <c r="AF528" s="3"/>
      <c r="AG528" s="3"/>
    </row>
    <row r="529" customFormat="false" ht="15.75" hidden="false" customHeight="false" outlineLevel="0" collapsed="false">
      <c r="A529" s="3"/>
      <c r="B529" s="3"/>
      <c r="C529" s="4"/>
      <c r="D529" s="4"/>
      <c r="E529" s="5"/>
      <c r="F529" s="6"/>
      <c r="N529" s="7"/>
      <c r="W529" s="4"/>
      <c r="X529" s="4"/>
      <c r="Z529" s="7"/>
      <c r="AA529" s="4"/>
      <c r="AB529" s="3"/>
      <c r="AC529" s="3"/>
      <c r="AD529" s="3"/>
      <c r="AE529" s="3"/>
      <c r="AF529" s="3"/>
      <c r="AG529" s="3"/>
    </row>
    <row r="530" customFormat="false" ht="15.75" hidden="false" customHeight="false" outlineLevel="0" collapsed="false">
      <c r="A530" s="3"/>
      <c r="B530" s="3"/>
      <c r="C530" s="4"/>
      <c r="D530" s="4"/>
      <c r="E530" s="5"/>
      <c r="F530" s="6"/>
      <c r="N530" s="7"/>
      <c r="W530" s="4"/>
      <c r="X530" s="4"/>
      <c r="Z530" s="7"/>
      <c r="AA530" s="4"/>
      <c r="AB530" s="3"/>
      <c r="AC530" s="3"/>
      <c r="AD530" s="3"/>
      <c r="AE530" s="3"/>
      <c r="AF530" s="3"/>
      <c r="AG530" s="3"/>
    </row>
    <row r="531" customFormat="false" ht="15.75" hidden="false" customHeight="false" outlineLevel="0" collapsed="false">
      <c r="A531" s="3"/>
      <c r="B531" s="3"/>
      <c r="C531" s="4"/>
      <c r="D531" s="4"/>
      <c r="E531" s="5"/>
      <c r="F531" s="6"/>
      <c r="N531" s="7"/>
      <c r="W531" s="4"/>
      <c r="X531" s="4"/>
      <c r="Z531" s="7"/>
      <c r="AA531" s="4"/>
      <c r="AB531" s="3"/>
      <c r="AC531" s="3"/>
      <c r="AD531" s="3"/>
      <c r="AE531" s="3"/>
      <c r="AF531" s="3"/>
      <c r="AG531" s="3"/>
    </row>
    <row r="532" customFormat="false" ht="15.75" hidden="false" customHeight="false" outlineLevel="0" collapsed="false">
      <c r="A532" s="3"/>
      <c r="B532" s="3"/>
      <c r="C532" s="4"/>
      <c r="D532" s="4"/>
      <c r="E532" s="5"/>
      <c r="F532" s="6"/>
      <c r="N532" s="7"/>
      <c r="W532" s="4"/>
      <c r="X532" s="4"/>
      <c r="Z532" s="7"/>
      <c r="AA532" s="4"/>
      <c r="AB532" s="3"/>
      <c r="AC532" s="3"/>
      <c r="AD532" s="3"/>
      <c r="AE532" s="3"/>
      <c r="AF532" s="3"/>
      <c r="AG532" s="3"/>
    </row>
    <row r="533" customFormat="false" ht="15.75" hidden="false" customHeight="false" outlineLevel="0" collapsed="false">
      <c r="A533" s="3"/>
      <c r="B533" s="3"/>
      <c r="C533" s="4"/>
      <c r="D533" s="4"/>
      <c r="E533" s="5"/>
      <c r="F533" s="6"/>
      <c r="N533" s="7"/>
      <c r="W533" s="4"/>
      <c r="X533" s="4"/>
      <c r="Z533" s="7"/>
      <c r="AA533" s="4"/>
      <c r="AB533" s="3"/>
      <c r="AC533" s="3"/>
      <c r="AD533" s="3"/>
      <c r="AE533" s="3"/>
      <c r="AF533" s="3"/>
      <c r="AG533" s="3"/>
    </row>
    <row r="534" customFormat="false" ht="15.75" hidden="false" customHeight="false" outlineLevel="0" collapsed="false">
      <c r="A534" s="3"/>
      <c r="B534" s="3"/>
      <c r="C534" s="4"/>
      <c r="D534" s="4"/>
      <c r="E534" s="5"/>
      <c r="F534" s="6"/>
      <c r="N534" s="7"/>
      <c r="W534" s="4"/>
      <c r="X534" s="4"/>
      <c r="Z534" s="7"/>
      <c r="AA534" s="4"/>
      <c r="AB534" s="3"/>
      <c r="AC534" s="3"/>
      <c r="AD534" s="3"/>
      <c r="AE534" s="3"/>
      <c r="AF534" s="3"/>
      <c r="AG534" s="3"/>
    </row>
    <row r="535" customFormat="false" ht="15.75" hidden="false" customHeight="false" outlineLevel="0" collapsed="false">
      <c r="A535" s="3"/>
      <c r="B535" s="3"/>
      <c r="C535" s="4"/>
      <c r="D535" s="4"/>
      <c r="E535" s="5"/>
      <c r="F535" s="6"/>
      <c r="N535" s="7"/>
      <c r="W535" s="4"/>
      <c r="X535" s="4"/>
      <c r="Z535" s="7"/>
      <c r="AA535" s="4"/>
      <c r="AB535" s="3"/>
      <c r="AC535" s="3"/>
      <c r="AD535" s="3"/>
      <c r="AE535" s="3"/>
      <c r="AF535" s="3"/>
      <c r="AG535" s="3"/>
    </row>
    <row r="536" customFormat="false" ht="15.75" hidden="false" customHeight="false" outlineLevel="0" collapsed="false">
      <c r="A536" s="3"/>
      <c r="B536" s="3"/>
      <c r="C536" s="4"/>
      <c r="D536" s="4"/>
      <c r="E536" s="5"/>
      <c r="F536" s="6"/>
      <c r="N536" s="7"/>
      <c r="W536" s="4"/>
      <c r="X536" s="4"/>
      <c r="Z536" s="7"/>
      <c r="AA536" s="4"/>
      <c r="AB536" s="3"/>
      <c r="AC536" s="3"/>
      <c r="AD536" s="3"/>
      <c r="AE536" s="3"/>
      <c r="AF536" s="3"/>
      <c r="AG536" s="3"/>
    </row>
    <row r="537" customFormat="false" ht="15.75" hidden="false" customHeight="false" outlineLevel="0" collapsed="false">
      <c r="A537" s="3"/>
      <c r="B537" s="3"/>
      <c r="C537" s="4"/>
      <c r="D537" s="4"/>
      <c r="E537" s="5"/>
      <c r="F537" s="6"/>
      <c r="N537" s="7"/>
      <c r="W537" s="4"/>
      <c r="X537" s="4"/>
      <c r="Z537" s="7"/>
      <c r="AA537" s="4"/>
      <c r="AB537" s="3"/>
      <c r="AC537" s="3"/>
      <c r="AD537" s="3"/>
      <c r="AE537" s="3"/>
      <c r="AF537" s="3"/>
      <c r="AG537" s="3"/>
    </row>
    <row r="538" customFormat="false" ht="15.75" hidden="false" customHeight="false" outlineLevel="0" collapsed="false">
      <c r="A538" s="3"/>
      <c r="B538" s="3"/>
      <c r="C538" s="4"/>
      <c r="D538" s="4"/>
      <c r="E538" s="5"/>
      <c r="F538" s="6"/>
      <c r="N538" s="7"/>
      <c r="W538" s="4"/>
      <c r="X538" s="4"/>
      <c r="Z538" s="7"/>
      <c r="AA538" s="4"/>
      <c r="AB538" s="3"/>
      <c r="AC538" s="3"/>
      <c r="AD538" s="3"/>
      <c r="AE538" s="3"/>
      <c r="AF538" s="3"/>
      <c r="AG538" s="3"/>
    </row>
    <row r="539" customFormat="false" ht="15.75" hidden="false" customHeight="false" outlineLevel="0" collapsed="false">
      <c r="A539" s="3"/>
      <c r="B539" s="3"/>
      <c r="C539" s="4"/>
      <c r="D539" s="4"/>
      <c r="E539" s="5"/>
      <c r="F539" s="6"/>
      <c r="N539" s="7"/>
      <c r="W539" s="4"/>
      <c r="X539" s="4"/>
      <c r="Z539" s="7"/>
      <c r="AA539" s="4"/>
      <c r="AB539" s="3"/>
      <c r="AC539" s="3"/>
      <c r="AD539" s="3"/>
      <c r="AE539" s="3"/>
      <c r="AF539" s="3"/>
      <c r="AG539" s="3"/>
    </row>
    <row r="540" customFormat="false" ht="15.75" hidden="false" customHeight="false" outlineLevel="0" collapsed="false">
      <c r="A540" s="3"/>
      <c r="B540" s="3"/>
      <c r="C540" s="4"/>
      <c r="D540" s="4"/>
      <c r="E540" s="5"/>
      <c r="F540" s="6"/>
      <c r="N540" s="7"/>
      <c r="W540" s="4"/>
      <c r="X540" s="4"/>
      <c r="Z540" s="7"/>
      <c r="AA540" s="4"/>
      <c r="AB540" s="3"/>
      <c r="AC540" s="3"/>
      <c r="AD540" s="3"/>
      <c r="AE540" s="3"/>
      <c r="AF540" s="3"/>
      <c r="AG540" s="3"/>
    </row>
    <row r="541" customFormat="false" ht="15.75" hidden="false" customHeight="false" outlineLevel="0" collapsed="false">
      <c r="A541" s="3"/>
      <c r="B541" s="3"/>
      <c r="C541" s="4"/>
      <c r="D541" s="4"/>
      <c r="E541" s="5"/>
      <c r="F541" s="6"/>
      <c r="N541" s="7"/>
      <c r="W541" s="4"/>
      <c r="X541" s="4"/>
      <c r="Z541" s="7"/>
      <c r="AA541" s="4"/>
      <c r="AB541" s="3"/>
      <c r="AC541" s="3"/>
      <c r="AD541" s="3"/>
      <c r="AE541" s="3"/>
      <c r="AF541" s="3"/>
      <c r="AG541" s="3"/>
    </row>
    <row r="542" customFormat="false" ht="15.75" hidden="false" customHeight="false" outlineLevel="0" collapsed="false">
      <c r="A542" s="3"/>
      <c r="B542" s="3"/>
      <c r="C542" s="4"/>
      <c r="D542" s="4"/>
      <c r="E542" s="5"/>
      <c r="F542" s="6"/>
      <c r="N542" s="7"/>
      <c r="W542" s="4"/>
      <c r="X542" s="4"/>
      <c r="Z542" s="7"/>
      <c r="AA542" s="4"/>
      <c r="AB542" s="3"/>
      <c r="AC542" s="3"/>
      <c r="AD542" s="3"/>
      <c r="AE542" s="3"/>
      <c r="AF542" s="3"/>
      <c r="AG542" s="3"/>
    </row>
    <row r="543" customFormat="false" ht="15.75" hidden="false" customHeight="false" outlineLevel="0" collapsed="false">
      <c r="A543" s="3"/>
      <c r="B543" s="3"/>
      <c r="C543" s="4"/>
      <c r="D543" s="4"/>
      <c r="E543" s="5"/>
      <c r="F543" s="6"/>
      <c r="N543" s="7"/>
      <c r="W543" s="4"/>
      <c r="X543" s="4"/>
      <c r="Z543" s="7"/>
      <c r="AA543" s="4"/>
      <c r="AB543" s="3"/>
      <c r="AC543" s="3"/>
      <c r="AD543" s="3"/>
      <c r="AE543" s="3"/>
      <c r="AF543" s="3"/>
      <c r="AG543" s="3"/>
    </row>
    <row r="544" customFormat="false" ht="15.75" hidden="false" customHeight="false" outlineLevel="0" collapsed="false">
      <c r="A544" s="3"/>
      <c r="B544" s="3"/>
      <c r="C544" s="4"/>
      <c r="D544" s="4"/>
      <c r="E544" s="5"/>
      <c r="F544" s="6"/>
      <c r="N544" s="7"/>
      <c r="W544" s="4"/>
      <c r="X544" s="4"/>
      <c r="Z544" s="7"/>
      <c r="AA544" s="4"/>
      <c r="AB544" s="3"/>
      <c r="AC544" s="3"/>
      <c r="AD544" s="3"/>
      <c r="AE544" s="3"/>
      <c r="AF544" s="3"/>
      <c r="AG544" s="3"/>
    </row>
    <row r="545" customFormat="false" ht="15.75" hidden="false" customHeight="false" outlineLevel="0" collapsed="false">
      <c r="A545" s="3"/>
      <c r="B545" s="3"/>
      <c r="C545" s="4"/>
      <c r="D545" s="4"/>
      <c r="E545" s="5"/>
      <c r="F545" s="6"/>
      <c r="N545" s="7"/>
      <c r="W545" s="4"/>
      <c r="X545" s="4"/>
      <c r="Z545" s="7"/>
      <c r="AA545" s="4"/>
      <c r="AB545" s="3"/>
      <c r="AC545" s="3"/>
      <c r="AD545" s="3"/>
      <c r="AE545" s="3"/>
      <c r="AF545" s="3"/>
      <c r="AG545" s="3"/>
    </row>
    <row r="546" customFormat="false" ht="15.75" hidden="false" customHeight="false" outlineLevel="0" collapsed="false">
      <c r="A546" s="3"/>
      <c r="B546" s="3"/>
      <c r="C546" s="4"/>
      <c r="D546" s="4"/>
      <c r="E546" s="5"/>
      <c r="F546" s="6"/>
      <c r="N546" s="7"/>
      <c r="W546" s="4"/>
      <c r="X546" s="4"/>
      <c r="Z546" s="7"/>
      <c r="AA546" s="4"/>
      <c r="AB546" s="3"/>
      <c r="AC546" s="3"/>
      <c r="AD546" s="3"/>
      <c r="AE546" s="3"/>
      <c r="AF546" s="3"/>
      <c r="AG546" s="3"/>
    </row>
    <row r="547" customFormat="false" ht="15.75" hidden="false" customHeight="false" outlineLevel="0" collapsed="false">
      <c r="A547" s="3"/>
      <c r="B547" s="3"/>
      <c r="C547" s="4"/>
      <c r="D547" s="4"/>
      <c r="E547" s="5"/>
      <c r="F547" s="6"/>
      <c r="N547" s="7"/>
      <c r="W547" s="4"/>
      <c r="X547" s="4"/>
      <c r="Z547" s="7"/>
      <c r="AA547" s="4"/>
      <c r="AB547" s="3"/>
      <c r="AC547" s="3"/>
      <c r="AD547" s="3"/>
      <c r="AE547" s="3"/>
      <c r="AF547" s="3"/>
      <c r="AG547" s="3"/>
    </row>
    <row r="548" customFormat="false" ht="15.75" hidden="false" customHeight="false" outlineLevel="0" collapsed="false">
      <c r="A548" s="3"/>
      <c r="B548" s="3"/>
      <c r="C548" s="4"/>
      <c r="D548" s="4"/>
      <c r="E548" s="5"/>
      <c r="F548" s="6"/>
      <c r="N548" s="7"/>
      <c r="W548" s="4"/>
      <c r="X548" s="4"/>
      <c r="Z548" s="7"/>
      <c r="AA548" s="4"/>
      <c r="AB548" s="3"/>
      <c r="AC548" s="3"/>
      <c r="AD548" s="3"/>
      <c r="AE548" s="3"/>
      <c r="AF548" s="3"/>
      <c r="AG548" s="3"/>
    </row>
    <row r="549" customFormat="false" ht="15.75" hidden="false" customHeight="false" outlineLevel="0" collapsed="false">
      <c r="A549" s="3"/>
      <c r="B549" s="3"/>
      <c r="C549" s="4"/>
      <c r="D549" s="4"/>
      <c r="E549" s="5"/>
      <c r="F549" s="6"/>
      <c r="N549" s="7"/>
      <c r="W549" s="4"/>
      <c r="X549" s="4"/>
      <c r="Z549" s="7"/>
      <c r="AA549" s="4"/>
      <c r="AB549" s="3"/>
      <c r="AC549" s="3"/>
      <c r="AD549" s="3"/>
      <c r="AE549" s="3"/>
      <c r="AF549" s="3"/>
      <c r="AG549" s="3"/>
    </row>
    <row r="550" customFormat="false" ht="15.75" hidden="false" customHeight="false" outlineLevel="0" collapsed="false">
      <c r="A550" s="3"/>
      <c r="B550" s="3"/>
      <c r="C550" s="4"/>
      <c r="D550" s="4"/>
      <c r="E550" s="5"/>
      <c r="F550" s="6"/>
      <c r="N550" s="7"/>
      <c r="W550" s="4"/>
      <c r="X550" s="4"/>
      <c r="Z550" s="7"/>
      <c r="AA550" s="4"/>
      <c r="AB550" s="3"/>
      <c r="AC550" s="3"/>
      <c r="AD550" s="3"/>
      <c r="AE550" s="3"/>
      <c r="AF550" s="3"/>
      <c r="AG550" s="3"/>
    </row>
    <row r="551" customFormat="false" ht="15.75" hidden="false" customHeight="false" outlineLevel="0" collapsed="false">
      <c r="A551" s="3"/>
      <c r="B551" s="3"/>
      <c r="C551" s="4"/>
      <c r="D551" s="4"/>
      <c r="E551" s="5"/>
      <c r="F551" s="6"/>
      <c r="N551" s="7"/>
      <c r="W551" s="4"/>
      <c r="X551" s="4"/>
      <c r="Z551" s="7"/>
      <c r="AA551" s="4"/>
      <c r="AB551" s="3"/>
      <c r="AC551" s="3"/>
      <c r="AD551" s="3"/>
      <c r="AE551" s="3"/>
      <c r="AF551" s="3"/>
      <c r="AG551" s="3"/>
    </row>
    <row r="552" customFormat="false" ht="15.75" hidden="false" customHeight="false" outlineLevel="0" collapsed="false">
      <c r="A552" s="3"/>
      <c r="B552" s="3"/>
      <c r="C552" s="4"/>
      <c r="D552" s="4"/>
      <c r="E552" s="5"/>
      <c r="F552" s="6"/>
      <c r="N552" s="7"/>
      <c r="W552" s="4"/>
      <c r="X552" s="4"/>
      <c r="Z552" s="7"/>
      <c r="AA552" s="4"/>
      <c r="AB552" s="3"/>
      <c r="AC552" s="3"/>
      <c r="AD552" s="3"/>
      <c r="AE552" s="3"/>
      <c r="AF552" s="3"/>
      <c r="AG552" s="3"/>
    </row>
    <row r="553" customFormat="false" ht="15.75" hidden="false" customHeight="false" outlineLevel="0" collapsed="false">
      <c r="A553" s="3"/>
      <c r="B553" s="3"/>
      <c r="C553" s="4"/>
      <c r="D553" s="4"/>
      <c r="E553" s="5"/>
      <c r="F553" s="6"/>
      <c r="N553" s="7"/>
      <c r="W553" s="4"/>
      <c r="X553" s="4"/>
      <c r="Z553" s="7"/>
      <c r="AA553" s="4"/>
      <c r="AB553" s="3"/>
      <c r="AC553" s="3"/>
      <c r="AD553" s="3"/>
      <c r="AE553" s="3"/>
      <c r="AF553" s="3"/>
      <c r="AG553" s="3"/>
    </row>
    <row r="554" customFormat="false" ht="15.75" hidden="false" customHeight="false" outlineLevel="0" collapsed="false">
      <c r="A554" s="3"/>
      <c r="B554" s="3"/>
      <c r="C554" s="4"/>
      <c r="D554" s="4"/>
      <c r="E554" s="5"/>
      <c r="F554" s="6"/>
      <c r="N554" s="7"/>
      <c r="W554" s="4"/>
      <c r="X554" s="4"/>
      <c r="Z554" s="7"/>
      <c r="AA554" s="4"/>
      <c r="AB554" s="3"/>
      <c r="AC554" s="3"/>
      <c r="AD554" s="3"/>
      <c r="AE554" s="3"/>
      <c r="AF554" s="3"/>
      <c r="AG554" s="3"/>
    </row>
    <row r="555" customFormat="false" ht="15.75" hidden="false" customHeight="false" outlineLevel="0" collapsed="false">
      <c r="A555" s="3"/>
      <c r="B555" s="3"/>
      <c r="C555" s="4"/>
      <c r="D555" s="4"/>
      <c r="E555" s="5"/>
      <c r="F555" s="6"/>
      <c r="N555" s="7"/>
      <c r="W555" s="4"/>
      <c r="X555" s="4"/>
      <c r="Z555" s="7"/>
      <c r="AA555" s="4"/>
      <c r="AB555" s="3"/>
      <c r="AC555" s="3"/>
      <c r="AD555" s="3"/>
      <c r="AE555" s="3"/>
      <c r="AF555" s="3"/>
      <c r="AG555" s="3"/>
    </row>
    <row r="556" customFormat="false" ht="15.75" hidden="false" customHeight="false" outlineLevel="0" collapsed="false">
      <c r="A556" s="3"/>
      <c r="B556" s="3"/>
      <c r="C556" s="4"/>
      <c r="D556" s="4"/>
      <c r="E556" s="5"/>
      <c r="F556" s="6"/>
      <c r="N556" s="7"/>
      <c r="W556" s="4"/>
      <c r="X556" s="4"/>
      <c r="Z556" s="7"/>
      <c r="AA556" s="4"/>
      <c r="AB556" s="3"/>
      <c r="AC556" s="3"/>
      <c r="AD556" s="3"/>
      <c r="AE556" s="3"/>
      <c r="AF556" s="3"/>
      <c r="AG556" s="3"/>
    </row>
    <row r="557" customFormat="false" ht="15.75" hidden="false" customHeight="false" outlineLevel="0" collapsed="false">
      <c r="A557" s="3"/>
      <c r="B557" s="3"/>
      <c r="C557" s="4"/>
      <c r="D557" s="4"/>
      <c r="E557" s="5"/>
      <c r="F557" s="6"/>
      <c r="N557" s="7"/>
      <c r="W557" s="4"/>
      <c r="X557" s="4"/>
      <c r="Z557" s="7"/>
      <c r="AA557" s="4"/>
      <c r="AB557" s="3"/>
      <c r="AC557" s="3"/>
      <c r="AD557" s="3"/>
      <c r="AE557" s="3"/>
      <c r="AF557" s="3"/>
      <c r="AG557" s="3"/>
    </row>
    <row r="558" customFormat="false" ht="15.75" hidden="false" customHeight="false" outlineLevel="0" collapsed="false">
      <c r="A558" s="3"/>
      <c r="B558" s="3"/>
      <c r="C558" s="4"/>
      <c r="D558" s="4"/>
      <c r="E558" s="5"/>
      <c r="F558" s="6"/>
      <c r="N558" s="7"/>
      <c r="W558" s="4"/>
      <c r="X558" s="4"/>
      <c r="Z558" s="7"/>
      <c r="AA558" s="4"/>
      <c r="AB558" s="3"/>
      <c r="AC558" s="3"/>
      <c r="AD558" s="3"/>
      <c r="AE558" s="3"/>
      <c r="AF558" s="3"/>
      <c r="AG558" s="3"/>
    </row>
    <row r="559" customFormat="false" ht="15.75" hidden="false" customHeight="false" outlineLevel="0" collapsed="false">
      <c r="A559" s="3"/>
      <c r="B559" s="3"/>
      <c r="C559" s="4"/>
      <c r="D559" s="4"/>
      <c r="E559" s="5"/>
      <c r="F559" s="6"/>
      <c r="N559" s="7"/>
      <c r="W559" s="4"/>
      <c r="X559" s="4"/>
      <c r="Z559" s="7"/>
      <c r="AA559" s="4"/>
      <c r="AB559" s="3"/>
      <c r="AC559" s="3"/>
      <c r="AD559" s="3"/>
      <c r="AE559" s="3"/>
      <c r="AF559" s="3"/>
      <c r="AG559" s="3"/>
    </row>
    <row r="560" customFormat="false" ht="15.75" hidden="false" customHeight="false" outlineLevel="0" collapsed="false">
      <c r="A560" s="3"/>
      <c r="B560" s="3"/>
      <c r="C560" s="4"/>
      <c r="D560" s="4"/>
      <c r="E560" s="5"/>
      <c r="F560" s="6"/>
      <c r="N560" s="7"/>
      <c r="W560" s="4"/>
      <c r="X560" s="4"/>
      <c r="Z560" s="7"/>
      <c r="AA560" s="4"/>
      <c r="AB560" s="3"/>
      <c r="AC560" s="3"/>
      <c r="AD560" s="3"/>
      <c r="AE560" s="3"/>
      <c r="AF560" s="3"/>
      <c r="AG560" s="3"/>
    </row>
    <row r="561" customFormat="false" ht="15.75" hidden="false" customHeight="false" outlineLevel="0" collapsed="false">
      <c r="A561" s="3"/>
      <c r="B561" s="3"/>
      <c r="C561" s="4"/>
      <c r="D561" s="4"/>
      <c r="E561" s="5"/>
      <c r="F561" s="6"/>
      <c r="N561" s="7"/>
      <c r="W561" s="4"/>
      <c r="X561" s="4"/>
      <c r="Z561" s="7"/>
      <c r="AA561" s="4"/>
      <c r="AB561" s="3"/>
      <c r="AC561" s="3"/>
      <c r="AD561" s="3"/>
      <c r="AE561" s="3"/>
      <c r="AF561" s="3"/>
      <c r="AG561" s="3"/>
    </row>
    <row r="562" customFormat="false" ht="15.75" hidden="false" customHeight="false" outlineLevel="0" collapsed="false">
      <c r="A562" s="3"/>
      <c r="B562" s="3"/>
      <c r="C562" s="4"/>
      <c r="D562" s="4"/>
      <c r="E562" s="5"/>
      <c r="F562" s="6"/>
      <c r="N562" s="7"/>
      <c r="W562" s="4"/>
      <c r="X562" s="4"/>
      <c r="Z562" s="7"/>
      <c r="AA562" s="4"/>
      <c r="AB562" s="3"/>
      <c r="AC562" s="3"/>
      <c r="AD562" s="3"/>
      <c r="AE562" s="3"/>
      <c r="AF562" s="3"/>
      <c r="AG562" s="3"/>
    </row>
    <row r="563" customFormat="false" ht="15.75" hidden="false" customHeight="false" outlineLevel="0" collapsed="false">
      <c r="A563" s="3"/>
      <c r="B563" s="3"/>
      <c r="C563" s="4"/>
      <c r="D563" s="4"/>
      <c r="E563" s="5"/>
      <c r="F563" s="6"/>
      <c r="N563" s="7"/>
      <c r="W563" s="4"/>
      <c r="X563" s="4"/>
      <c r="Z563" s="7"/>
      <c r="AA563" s="4"/>
      <c r="AB563" s="3"/>
      <c r="AC563" s="3"/>
      <c r="AD563" s="3"/>
      <c r="AE563" s="3"/>
      <c r="AF563" s="3"/>
      <c r="AG563" s="3"/>
    </row>
    <row r="564" customFormat="false" ht="15.75" hidden="false" customHeight="false" outlineLevel="0" collapsed="false">
      <c r="A564" s="3"/>
      <c r="B564" s="3"/>
      <c r="C564" s="4"/>
      <c r="D564" s="4"/>
      <c r="E564" s="5"/>
      <c r="F564" s="6"/>
      <c r="N564" s="7"/>
      <c r="W564" s="4"/>
      <c r="X564" s="4"/>
      <c r="Z564" s="7"/>
      <c r="AA564" s="4"/>
      <c r="AB564" s="3"/>
      <c r="AC564" s="3"/>
      <c r="AD564" s="3"/>
      <c r="AE564" s="3"/>
      <c r="AF564" s="3"/>
      <c r="AG564" s="3"/>
    </row>
    <row r="565" customFormat="false" ht="15.75" hidden="false" customHeight="false" outlineLevel="0" collapsed="false">
      <c r="A565" s="3"/>
      <c r="B565" s="3"/>
      <c r="C565" s="4"/>
      <c r="D565" s="4"/>
      <c r="E565" s="5"/>
      <c r="F565" s="6"/>
      <c r="N565" s="7"/>
      <c r="W565" s="4"/>
      <c r="X565" s="4"/>
      <c r="Z565" s="7"/>
      <c r="AA565" s="4"/>
      <c r="AB565" s="3"/>
      <c r="AC565" s="3"/>
      <c r="AD565" s="3"/>
      <c r="AE565" s="3"/>
      <c r="AF565" s="3"/>
      <c r="AG565" s="3"/>
    </row>
    <row r="566" customFormat="false" ht="15.75" hidden="false" customHeight="false" outlineLevel="0" collapsed="false">
      <c r="A566" s="3"/>
      <c r="B566" s="3"/>
      <c r="C566" s="4"/>
      <c r="D566" s="4"/>
      <c r="E566" s="5"/>
      <c r="F566" s="6"/>
      <c r="N566" s="7"/>
      <c r="W566" s="4"/>
      <c r="X566" s="4"/>
      <c r="Z566" s="7"/>
      <c r="AA566" s="4"/>
      <c r="AB566" s="3"/>
      <c r="AC566" s="3"/>
      <c r="AD566" s="3"/>
      <c r="AE566" s="3"/>
      <c r="AF566" s="3"/>
      <c r="AG566" s="3"/>
    </row>
    <row r="567" customFormat="false" ht="15.75" hidden="false" customHeight="false" outlineLevel="0" collapsed="false">
      <c r="A567" s="3"/>
      <c r="B567" s="3"/>
      <c r="C567" s="4"/>
      <c r="D567" s="4"/>
      <c r="E567" s="5"/>
      <c r="F567" s="6"/>
      <c r="N567" s="7"/>
      <c r="W567" s="4"/>
      <c r="X567" s="4"/>
      <c r="Z567" s="7"/>
      <c r="AA567" s="4"/>
      <c r="AB567" s="3"/>
      <c r="AC567" s="3"/>
      <c r="AD567" s="3"/>
      <c r="AE567" s="3"/>
      <c r="AF567" s="3"/>
      <c r="AG567" s="3"/>
    </row>
    <row r="568" customFormat="false" ht="15.75" hidden="false" customHeight="false" outlineLevel="0" collapsed="false">
      <c r="A568" s="3"/>
      <c r="B568" s="3"/>
      <c r="C568" s="4"/>
      <c r="D568" s="4"/>
      <c r="E568" s="5"/>
      <c r="F568" s="6"/>
      <c r="N568" s="7"/>
      <c r="W568" s="4"/>
      <c r="X568" s="4"/>
      <c r="Z568" s="7"/>
      <c r="AA568" s="4"/>
      <c r="AB568" s="3"/>
      <c r="AC568" s="3"/>
      <c r="AD568" s="3"/>
      <c r="AE568" s="3"/>
      <c r="AF568" s="3"/>
      <c r="AG568" s="3"/>
    </row>
    <row r="569" customFormat="false" ht="15.75" hidden="false" customHeight="false" outlineLevel="0" collapsed="false">
      <c r="A569" s="3"/>
      <c r="B569" s="3"/>
      <c r="C569" s="4"/>
      <c r="D569" s="4"/>
      <c r="E569" s="5"/>
      <c r="F569" s="6"/>
      <c r="N569" s="7"/>
      <c r="W569" s="4"/>
      <c r="X569" s="4"/>
      <c r="Z569" s="7"/>
      <c r="AA569" s="4"/>
      <c r="AB569" s="3"/>
      <c r="AC569" s="3"/>
      <c r="AD569" s="3"/>
      <c r="AE569" s="3"/>
      <c r="AF569" s="3"/>
      <c r="AG569" s="3"/>
    </row>
    <row r="570" customFormat="false" ht="15.75" hidden="false" customHeight="false" outlineLevel="0" collapsed="false">
      <c r="A570" s="3"/>
      <c r="B570" s="3"/>
      <c r="C570" s="4"/>
      <c r="D570" s="4"/>
      <c r="E570" s="5"/>
      <c r="F570" s="6"/>
      <c r="N570" s="7"/>
      <c r="W570" s="4"/>
      <c r="X570" s="4"/>
      <c r="Z570" s="7"/>
      <c r="AA570" s="4"/>
      <c r="AB570" s="3"/>
      <c r="AC570" s="3"/>
      <c r="AD570" s="3"/>
      <c r="AE570" s="3"/>
      <c r="AF570" s="3"/>
      <c r="AG570" s="3"/>
    </row>
    <row r="571" customFormat="false" ht="15.75" hidden="false" customHeight="false" outlineLevel="0" collapsed="false">
      <c r="A571" s="3"/>
      <c r="B571" s="3"/>
      <c r="C571" s="4"/>
      <c r="D571" s="4"/>
      <c r="E571" s="5"/>
      <c r="F571" s="6"/>
      <c r="N571" s="7"/>
      <c r="W571" s="4"/>
      <c r="X571" s="4"/>
      <c r="Z571" s="7"/>
      <c r="AA571" s="4"/>
      <c r="AB571" s="3"/>
      <c r="AC571" s="3"/>
      <c r="AD571" s="3"/>
      <c r="AE571" s="3"/>
      <c r="AF571" s="3"/>
      <c r="AG571" s="3"/>
    </row>
    <row r="572" customFormat="false" ht="15.75" hidden="false" customHeight="false" outlineLevel="0" collapsed="false">
      <c r="A572" s="3"/>
      <c r="B572" s="3"/>
      <c r="C572" s="4"/>
      <c r="D572" s="4"/>
      <c r="E572" s="5"/>
      <c r="F572" s="6"/>
      <c r="N572" s="7"/>
      <c r="W572" s="4"/>
      <c r="X572" s="4"/>
      <c r="Z572" s="7"/>
      <c r="AA572" s="4"/>
      <c r="AB572" s="3"/>
      <c r="AC572" s="3"/>
      <c r="AD572" s="3"/>
      <c r="AE572" s="3"/>
      <c r="AF572" s="3"/>
      <c r="AG572" s="3"/>
    </row>
    <row r="573" customFormat="false" ht="15.75" hidden="false" customHeight="false" outlineLevel="0" collapsed="false">
      <c r="A573" s="3"/>
      <c r="B573" s="3"/>
      <c r="C573" s="4"/>
      <c r="D573" s="4"/>
      <c r="E573" s="5"/>
      <c r="F573" s="6"/>
      <c r="N573" s="7"/>
      <c r="W573" s="4"/>
      <c r="X573" s="4"/>
      <c r="Z573" s="7"/>
      <c r="AA573" s="4"/>
      <c r="AB573" s="3"/>
      <c r="AC573" s="3"/>
      <c r="AD573" s="3"/>
      <c r="AE573" s="3"/>
      <c r="AF573" s="3"/>
      <c r="AG573" s="3"/>
    </row>
    <row r="574" customFormat="false" ht="15.75" hidden="false" customHeight="false" outlineLevel="0" collapsed="false">
      <c r="A574" s="3"/>
      <c r="B574" s="3"/>
      <c r="C574" s="4"/>
      <c r="D574" s="4"/>
      <c r="E574" s="5"/>
      <c r="F574" s="6"/>
      <c r="N574" s="7"/>
      <c r="W574" s="4"/>
      <c r="X574" s="4"/>
      <c r="Z574" s="7"/>
      <c r="AA574" s="4"/>
      <c r="AB574" s="3"/>
      <c r="AC574" s="3"/>
      <c r="AD574" s="3"/>
      <c r="AE574" s="3"/>
      <c r="AF574" s="3"/>
      <c r="AG574" s="3"/>
    </row>
    <row r="575" customFormat="false" ht="15.75" hidden="false" customHeight="false" outlineLevel="0" collapsed="false">
      <c r="A575" s="3"/>
      <c r="B575" s="3"/>
      <c r="C575" s="4"/>
      <c r="D575" s="4"/>
      <c r="E575" s="5"/>
      <c r="F575" s="6"/>
      <c r="N575" s="7"/>
      <c r="W575" s="4"/>
      <c r="X575" s="4"/>
      <c r="Z575" s="7"/>
      <c r="AA575" s="4"/>
      <c r="AB575" s="3"/>
      <c r="AC575" s="3"/>
      <c r="AD575" s="3"/>
      <c r="AE575" s="3"/>
      <c r="AF575" s="3"/>
      <c r="AG575" s="3"/>
    </row>
    <row r="576" customFormat="false" ht="15.75" hidden="false" customHeight="false" outlineLevel="0" collapsed="false">
      <c r="A576" s="3"/>
      <c r="B576" s="3"/>
      <c r="C576" s="4"/>
      <c r="D576" s="4"/>
      <c r="E576" s="5"/>
      <c r="F576" s="6"/>
      <c r="N576" s="7"/>
      <c r="W576" s="4"/>
      <c r="X576" s="4"/>
      <c r="Z576" s="7"/>
      <c r="AA576" s="4"/>
      <c r="AB576" s="3"/>
      <c r="AC576" s="3"/>
      <c r="AD576" s="3"/>
      <c r="AE576" s="3"/>
      <c r="AF576" s="3"/>
      <c r="AG576" s="3"/>
    </row>
    <row r="577" customFormat="false" ht="15.75" hidden="false" customHeight="false" outlineLevel="0" collapsed="false">
      <c r="A577" s="3"/>
      <c r="B577" s="3"/>
      <c r="C577" s="4"/>
      <c r="D577" s="4"/>
      <c r="E577" s="5"/>
      <c r="F577" s="6"/>
      <c r="N577" s="7"/>
      <c r="W577" s="4"/>
      <c r="X577" s="4"/>
      <c r="Z577" s="7"/>
      <c r="AA577" s="4"/>
      <c r="AB577" s="3"/>
      <c r="AC577" s="3"/>
      <c r="AD577" s="3"/>
      <c r="AE577" s="3"/>
      <c r="AF577" s="3"/>
      <c r="AG577" s="3"/>
    </row>
    <row r="578" customFormat="false" ht="15.75" hidden="false" customHeight="false" outlineLevel="0" collapsed="false">
      <c r="A578" s="3"/>
      <c r="B578" s="3"/>
      <c r="C578" s="4"/>
      <c r="D578" s="4"/>
      <c r="E578" s="5"/>
      <c r="F578" s="6"/>
      <c r="N578" s="7"/>
      <c r="W578" s="4"/>
      <c r="X578" s="4"/>
      <c r="Z578" s="7"/>
      <c r="AA578" s="4"/>
      <c r="AB578" s="3"/>
      <c r="AC578" s="3"/>
      <c r="AD578" s="3"/>
      <c r="AE578" s="3"/>
      <c r="AF578" s="3"/>
      <c r="AG578" s="3"/>
    </row>
    <row r="579" customFormat="false" ht="15.75" hidden="false" customHeight="false" outlineLevel="0" collapsed="false">
      <c r="A579" s="3"/>
      <c r="B579" s="3"/>
      <c r="C579" s="4"/>
      <c r="D579" s="4"/>
      <c r="E579" s="5"/>
      <c r="F579" s="6"/>
      <c r="N579" s="7"/>
      <c r="W579" s="4"/>
      <c r="X579" s="4"/>
      <c r="Z579" s="7"/>
      <c r="AA579" s="4"/>
      <c r="AB579" s="3"/>
      <c r="AC579" s="3"/>
      <c r="AD579" s="3"/>
      <c r="AE579" s="3"/>
      <c r="AF579" s="3"/>
      <c r="AG579" s="3"/>
    </row>
    <row r="580" customFormat="false" ht="15.75" hidden="false" customHeight="false" outlineLevel="0" collapsed="false">
      <c r="A580" s="3"/>
      <c r="B580" s="3"/>
      <c r="C580" s="4"/>
      <c r="D580" s="4"/>
      <c r="E580" s="5"/>
      <c r="F580" s="6"/>
      <c r="N580" s="7"/>
      <c r="W580" s="4"/>
      <c r="X580" s="4"/>
      <c r="Z580" s="7"/>
      <c r="AA580" s="4"/>
      <c r="AB580" s="3"/>
      <c r="AC580" s="3"/>
      <c r="AD580" s="3"/>
      <c r="AE580" s="3"/>
      <c r="AF580" s="3"/>
      <c r="AG580" s="3"/>
    </row>
    <row r="581" customFormat="false" ht="15.75" hidden="false" customHeight="false" outlineLevel="0" collapsed="false">
      <c r="A581" s="3"/>
      <c r="B581" s="3"/>
      <c r="C581" s="4"/>
      <c r="D581" s="4"/>
      <c r="E581" s="5"/>
      <c r="F581" s="6"/>
      <c r="N581" s="7"/>
      <c r="W581" s="4"/>
      <c r="X581" s="4"/>
      <c r="Z581" s="7"/>
      <c r="AA581" s="4"/>
      <c r="AB581" s="3"/>
      <c r="AC581" s="3"/>
      <c r="AD581" s="3"/>
      <c r="AE581" s="3"/>
      <c r="AF581" s="3"/>
      <c r="AG581" s="3"/>
    </row>
    <row r="582" customFormat="false" ht="15.75" hidden="false" customHeight="false" outlineLevel="0" collapsed="false">
      <c r="A582" s="3"/>
      <c r="B582" s="3"/>
      <c r="C582" s="4"/>
      <c r="D582" s="4"/>
      <c r="E582" s="5"/>
      <c r="F582" s="6"/>
      <c r="N582" s="7"/>
      <c r="W582" s="4"/>
      <c r="X582" s="4"/>
      <c r="Z582" s="7"/>
      <c r="AA582" s="4"/>
      <c r="AB582" s="3"/>
      <c r="AC582" s="3"/>
      <c r="AD582" s="3"/>
      <c r="AE582" s="3"/>
      <c r="AF582" s="3"/>
      <c r="AG582" s="3"/>
    </row>
    <row r="583" customFormat="false" ht="15.75" hidden="false" customHeight="false" outlineLevel="0" collapsed="false">
      <c r="A583" s="3"/>
      <c r="B583" s="3"/>
      <c r="C583" s="4"/>
      <c r="D583" s="4"/>
      <c r="E583" s="5"/>
      <c r="F583" s="6"/>
      <c r="N583" s="7"/>
      <c r="W583" s="4"/>
      <c r="X583" s="4"/>
      <c r="Z583" s="7"/>
      <c r="AA583" s="4"/>
      <c r="AB583" s="3"/>
      <c r="AC583" s="3"/>
      <c r="AD583" s="3"/>
      <c r="AE583" s="3"/>
      <c r="AF583" s="3"/>
      <c r="AG583" s="3"/>
    </row>
    <row r="584" customFormat="false" ht="15.75" hidden="false" customHeight="false" outlineLevel="0" collapsed="false">
      <c r="A584" s="3"/>
      <c r="B584" s="3"/>
      <c r="C584" s="4"/>
      <c r="D584" s="4"/>
      <c r="E584" s="5"/>
      <c r="F584" s="6"/>
      <c r="N584" s="7"/>
      <c r="W584" s="4"/>
      <c r="X584" s="4"/>
      <c r="Z584" s="7"/>
      <c r="AA584" s="4"/>
      <c r="AB584" s="3"/>
      <c r="AC584" s="3"/>
      <c r="AD584" s="3"/>
      <c r="AE584" s="3"/>
      <c r="AF584" s="3"/>
      <c r="AG584" s="3"/>
    </row>
    <row r="585" customFormat="false" ht="15.75" hidden="false" customHeight="false" outlineLevel="0" collapsed="false">
      <c r="A585" s="3"/>
      <c r="B585" s="3"/>
      <c r="C585" s="4"/>
      <c r="D585" s="4"/>
      <c r="E585" s="5"/>
      <c r="F585" s="6"/>
      <c r="N585" s="7"/>
      <c r="W585" s="4"/>
      <c r="X585" s="4"/>
      <c r="Z585" s="7"/>
      <c r="AA585" s="4"/>
      <c r="AB585" s="3"/>
      <c r="AC585" s="3"/>
      <c r="AD585" s="3"/>
      <c r="AE585" s="3"/>
      <c r="AF585" s="3"/>
      <c r="AG585" s="3"/>
    </row>
    <row r="586" customFormat="false" ht="15.75" hidden="false" customHeight="false" outlineLevel="0" collapsed="false">
      <c r="A586" s="3"/>
      <c r="B586" s="3"/>
      <c r="C586" s="4"/>
      <c r="D586" s="4"/>
      <c r="E586" s="5"/>
      <c r="F586" s="6"/>
      <c r="N586" s="7"/>
      <c r="W586" s="4"/>
      <c r="X586" s="4"/>
      <c r="Z586" s="7"/>
      <c r="AA586" s="4"/>
      <c r="AB586" s="3"/>
      <c r="AC586" s="3"/>
      <c r="AD586" s="3"/>
      <c r="AE586" s="3"/>
      <c r="AF586" s="3"/>
      <c r="AG586" s="3"/>
    </row>
    <row r="587" customFormat="false" ht="15.75" hidden="false" customHeight="false" outlineLevel="0" collapsed="false">
      <c r="A587" s="3"/>
      <c r="B587" s="3"/>
      <c r="C587" s="4"/>
      <c r="D587" s="4"/>
      <c r="E587" s="5"/>
      <c r="F587" s="6"/>
      <c r="N587" s="7"/>
      <c r="W587" s="4"/>
      <c r="X587" s="4"/>
      <c r="Z587" s="7"/>
      <c r="AA587" s="4"/>
      <c r="AB587" s="3"/>
      <c r="AC587" s="3"/>
      <c r="AD587" s="3"/>
      <c r="AE587" s="3"/>
      <c r="AF587" s="3"/>
      <c r="AG587" s="3"/>
    </row>
    <row r="588" customFormat="false" ht="15.75" hidden="false" customHeight="false" outlineLevel="0" collapsed="false">
      <c r="A588" s="3"/>
      <c r="B588" s="3"/>
      <c r="C588" s="4"/>
      <c r="D588" s="4"/>
      <c r="E588" s="5"/>
      <c r="F588" s="6"/>
      <c r="N588" s="7"/>
      <c r="W588" s="4"/>
      <c r="X588" s="4"/>
      <c r="Z588" s="7"/>
      <c r="AA588" s="4"/>
      <c r="AB588" s="3"/>
      <c r="AC588" s="3"/>
      <c r="AD588" s="3"/>
      <c r="AE588" s="3"/>
      <c r="AF588" s="3"/>
      <c r="AG588" s="3"/>
    </row>
    <row r="589" customFormat="false" ht="15.75" hidden="false" customHeight="false" outlineLevel="0" collapsed="false">
      <c r="A589" s="3"/>
      <c r="B589" s="3"/>
      <c r="C589" s="4"/>
      <c r="D589" s="4"/>
      <c r="E589" s="5"/>
      <c r="F589" s="6"/>
      <c r="N589" s="7"/>
      <c r="W589" s="4"/>
      <c r="X589" s="4"/>
      <c r="Z589" s="7"/>
      <c r="AA589" s="4"/>
      <c r="AB589" s="3"/>
      <c r="AC589" s="3"/>
      <c r="AD589" s="3"/>
      <c r="AE589" s="3"/>
      <c r="AF589" s="3"/>
      <c r="AG589" s="3"/>
    </row>
    <row r="590" customFormat="false" ht="15.75" hidden="false" customHeight="false" outlineLevel="0" collapsed="false">
      <c r="A590" s="3"/>
      <c r="B590" s="3"/>
      <c r="C590" s="4"/>
      <c r="D590" s="4"/>
      <c r="E590" s="5"/>
      <c r="F590" s="6"/>
      <c r="N590" s="7"/>
      <c r="W590" s="4"/>
      <c r="X590" s="4"/>
      <c r="Z590" s="7"/>
      <c r="AA590" s="4"/>
      <c r="AB590" s="3"/>
      <c r="AC590" s="3"/>
      <c r="AD590" s="3"/>
      <c r="AE590" s="3"/>
      <c r="AF590" s="3"/>
      <c r="AG590" s="3"/>
    </row>
    <row r="591" customFormat="false" ht="15.75" hidden="false" customHeight="false" outlineLevel="0" collapsed="false">
      <c r="A591" s="3"/>
      <c r="B591" s="3"/>
      <c r="C591" s="4"/>
      <c r="D591" s="4"/>
      <c r="E591" s="5"/>
      <c r="F591" s="6"/>
      <c r="N591" s="7"/>
      <c r="W591" s="4"/>
      <c r="X591" s="4"/>
      <c r="Z591" s="7"/>
      <c r="AA591" s="4"/>
      <c r="AB591" s="3"/>
      <c r="AC591" s="3"/>
      <c r="AD591" s="3"/>
      <c r="AE591" s="3"/>
      <c r="AF591" s="3"/>
      <c r="AG591" s="3"/>
    </row>
    <row r="592" customFormat="false" ht="15.75" hidden="false" customHeight="false" outlineLevel="0" collapsed="false">
      <c r="A592" s="3"/>
      <c r="B592" s="3"/>
      <c r="C592" s="4"/>
      <c r="D592" s="4"/>
      <c r="E592" s="5"/>
      <c r="F592" s="6"/>
      <c r="N592" s="7"/>
      <c r="W592" s="4"/>
      <c r="X592" s="4"/>
      <c r="Z592" s="7"/>
      <c r="AA592" s="4"/>
      <c r="AB592" s="3"/>
      <c r="AC592" s="3"/>
      <c r="AD592" s="3"/>
      <c r="AE592" s="3"/>
      <c r="AF592" s="3"/>
      <c r="AG592" s="3"/>
    </row>
    <row r="593" customFormat="false" ht="15.75" hidden="false" customHeight="false" outlineLevel="0" collapsed="false">
      <c r="A593" s="3"/>
      <c r="B593" s="3"/>
      <c r="C593" s="4"/>
      <c r="D593" s="4"/>
      <c r="E593" s="5"/>
      <c r="F593" s="6"/>
      <c r="N593" s="7"/>
      <c r="W593" s="4"/>
      <c r="X593" s="4"/>
      <c r="Z593" s="7"/>
      <c r="AA593" s="4"/>
      <c r="AB593" s="3"/>
      <c r="AC593" s="3"/>
      <c r="AD593" s="3"/>
      <c r="AE593" s="3"/>
      <c r="AF593" s="3"/>
      <c r="AG593" s="3"/>
    </row>
    <row r="594" customFormat="false" ht="15.75" hidden="false" customHeight="false" outlineLevel="0" collapsed="false">
      <c r="A594" s="3"/>
      <c r="B594" s="3"/>
      <c r="C594" s="4"/>
      <c r="D594" s="4"/>
      <c r="E594" s="5"/>
      <c r="F594" s="6"/>
      <c r="N594" s="7"/>
      <c r="W594" s="4"/>
      <c r="X594" s="4"/>
      <c r="Z594" s="7"/>
      <c r="AA594" s="4"/>
      <c r="AB594" s="3"/>
      <c r="AC594" s="3"/>
      <c r="AD594" s="3"/>
      <c r="AE594" s="3"/>
      <c r="AF594" s="3"/>
      <c r="AG594" s="3"/>
    </row>
    <row r="595" customFormat="false" ht="15.75" hidden="false" customHeight="false" outlineLevel="0" collapsed="false">
      <c r="A595" s="3"/>
      <c r="B595" s="3"/>
      <c r="C595" s="4"/>
      <c r="D595" s="4"/>
      <c r="E595" s="5"/>
      <c r="F595" s="6"/>
      <c r="N595" s="7"/>
      <c r="W595" s="4"/>
      <c r="X595" s="4"/>
      <c r="Z595" s="7"/>
      <c r="AA595" s="4"/>
      <c r="AB595" s="3"/>
      <c r="AC595" s="3"/>
      <c r="AD595" s="3"/>
      <c r="AE595" s="3"/>
      <c r="AF595" s="3"/>
      <c r="AG595" s="3"/>
    </row>
    <row r="596" customFormat="false" ht="15.75" hidden="false" customHeight="false" outlineLevel="0" collapsed="false">
      <c r="A596" s="3"/>
      <c r="B596" s="3"/>
      <c r="C596" s="4"/>
      <c r="D596" s="4"/>
      <c r="E596" s="5"/>
      <c r="F596" s="6"/>
      <c r="N596" s="7"/>
      <c r="W596" s="4"/>
      <c r="X596" s="4"/>
      <c r="Z596" s="7"/>
      <c r="AA596" s="4"/>
      <c r="AB596" s="3"/>
      <c r="AC596" s="3"/>
      <c r="AD596" s="3"/>
      <c r="AE596" s="3"/>
      <c r="AF596" s="3"/>
      <c r="AG596" s="3"/>
    </row>
    <row r="597" customFormat="false" ht="15.75" hidden="false" customHeight="false" outlineLevel="0" collapsed="false">
      <c r="A597" s="3"/>
      <c r="B597" s="3"/>
      <c r="C597" s="4"/>
      <c r="D597" s="4"/>
      <c r="E597" s="5"/>
      <c r="F597" s="6"/>
      <c r="N597" s="7"/>
      <c r="W597" s="4"/>
      <c r="X597" s="4"/>
      <c r="Z597" s="7"/>
      <c r="AA597" s="4"/>
      <c r="AB597" s="3"/>
      <c r="AC597" s="3"/>
      <c r="AD597" s="3"/>
      <c r="AE597" s="3"/>
      <c r="AF597" s="3"/>
      <c r="AG597" s="3"/>
    </row>
    <row r="598" customFormat="false" ht="15.75" hidden="false" customHeight="false" outlineLevel="0" collapsed="false">
      <c r="A598" s="3"/>
      <c r="B598" s="3"/>
      <c r="C598" s="4"/>
      <c r="D598" s="4"/>
      <c r="E598" s="5"/>
      <c r="F598" s="6"/>
      <c r="N598" s="7"/>
      <c r="W598" s="4"/>
      <c r="X598" s="4"/>
      <c r="Z598" s="7"/>
      <c r="AA598" s="4"/>
      <c r="AB598" s="3"/>
      <c r="AC598" s="3"/>
      <c r="AD598" s="3"/>
      <c r="AE598" s="3"/>
      <c r="AF598" s="3"/>
      <c r="AG598" s="3"/>
    </row>
    <row r="599" customFormat="false" ht="15.75" hidden="false" customHeight="false" outlineLevel="0" collapsed="false">
      <c r="A599" s="3"/>
      <c r="B599" s="3"/>
      <c r="C599" s="4"/>
      <c r="D599" s="4"/>
      <c r="E599" s="5"/>
      <c r="F599" s="6"/>
      <c r="N599" s="7"/>
      <c r="W599" s="4"/>
      <c r="X599" s="4"/>
      <c r="Z599" s="7"/>
      <c r="AA599" s="4"/>
      <c r="AB599" s="3"/>
      <c r="AC599" s="3"/>
      <c r="AD599" s="3"/>
      <c r="AE599" s="3"/>
      <c r="AF599" s="3"/>
      <c r="AG599" s="3"/>
    </row>
    <row r="600" customFormat="false" ht="15.75" hidden="false" customHeight="false" outlineLevel="0" collapsed="false">
      <c r="A600" s="3"/>
      <c r="B600" s="3"/>
      <c r="C600" s="4"/>
      <c r="D600" s="4"/>
      <c r="E600" s="5"/>
      <c r="F600" s="6"/>
      <c r="N600" s="7"/>
      <c r="W600" s="4"/>
      <c r="X600" s="4"/>
      <c r="Z600" s="7"/>
      <c r="AA600" s="4"/>
      <c r="AB600" s="3"/>
      <c r="AC600" s="3"/>
      <c r="AD600" s="3"/>
      <c r="AE600" s="3"/>
      <c r="AF600" s="3"/>
      <c r="AG600" s="3"/>
    </row>
    <row r="601" customFormat="false" ht="15.75" hidden="false" customHeight="false" outlineLevel="0" collapsed="false">
      <c r="A601" s="3"/>
      <c r="B601" s="3"/>
      <c r="C601" s="4"/>
      <c r="D601" s="4"/>
      <c r="E601" s="5"/>
      <c r="F601" s="6"/>
      <c r="N601" s="7"/>
      <c r="W601" s="4"/>
      <c r="X601" s="4"/>
      <c r="Z601" s="7"/>
      <c r="AA601" s="4"/>
      <c r="AB601" s="3"/>
      <c r="AC601" s="3"/>
      <c r="AD601" s="3"/>
      <c r="AE601" s="3"/>
      <c r="AF601" s="3"/>
      <c r="AG601" s="3"/>
    </row>
    <row r="602" customFormat="false" ht="15.75" hidden="false" customHeight="false" outlineLevel="0" collapsed="false">
      <c r="A602" s="3"/>
      <c r="B602" s="3"/>
      <c r="C602" s="4"/>
      <c r="D602" s="4"/>
      <c r="E602" s="5"/>
      <c r="F602" s="6"/>
      <c r="N602" s="7"/>
      <c r="W602" s="4"/>
      <c r="X602" s="4"/>
      <c r="Z602" s="7"/>
      <c r="AA602" s="4"/>
      <c r="AB602" s="3"/>
      <c r="AC602" s="3"/>
      <c r="AD602" s="3"/>
      <c r="AE602" s="3"/>
      <c r="AF602" s="3"/>
      <c r="AG602" s="3"/>
    </row>
    <row r="603" customFormat="false" ht="15.75" hidden="false" customHeight="false" outlineLevel="0" collapsed="false">
      <c r="A603" s="3"/>
      <c r="B603" s="3"/>
      <c r="C603" s="4"/>
      <c r="D603" s="4"/>
      <c r="E603" s="5"/>
      <c r="F603" s="6"/>
      <c r="N603" s="7"/>
      <c r="W603" s="4"/>
      <c r="X603" s="4"/>
      <c r="Z603" s="7"/>
      <c r="AA603" s="4"/>
      <c r="AB603" s="3"/>
      <c r="AC603" s="3"/>
      <c r="AD603" s="3"/>
      <c r="AE603" s="3"/>
      <c r="AF603" s="3"/>
      <c r="AG603" s="3"/>
    </row>
    <row r="604" customFormat="false" ht="15.75" hidden="false" customHeight="false" outlineLevel="0" collapsed="false">
      <c r="A604" s="3"/>
      <c r="B604" s="3"/>
      <c r="C604" s="4"/>
      <c r="D604" s="4"/>
      <c r="E604" s="5"/>
      <c r="F604" s="6"/>
      <c r="N604" s="7"/>
      <c r="W604" s="4"/>
      <c r="X604" s="4"/>
      <c r="Z604" s="7"/>
      <c r="AA604" s="4"/>
      <c r="AB604" s="3"/>
      <c r="AC604" s="3"/>
      <c r="AD604" s="3"/>
      <c r="AE604" s="3"/>
      <c r="AF604" s="3"/>
      <c r="AG604" s="3"/>
    </row>
    <row r="605" customFormat="false" ht="15.75" hidden="false" customHeight="false" outlineLevel="0" collapsed="false">
      <c r="A605" s="3"/>
      <c r="B605" s="3"/>
      <c r="C605" s="4"/>
      <c r="D605" s="4"/>
      <c r="E605" s="5"/>
      <c r="F605" s="6"/>
      <c r="N605" s="7"/>
      <c r="W605" s="4"/>
      <c r="X605" s="4"/>
      <c r="Z605" s="7"/>
      <c r="AA605" s="4"/>
      <c r="AB605" s="3"/>
      <c r="AC605" s="3"/>
      <c r="AD605" s="3"/>
      <c r="AE605" s="3"/>
      <c r="AF605" s="3"/>
      <c r="AG605" s="3"/>
    </row>
    <row r="606" customFormat="false" ht="15.75" hidden="false" customHeight="false" outlineLevel="0" collapsed="false">
      <c r="A606" s="3"/>
      <c r="B606" s="3"/>
      <c r="C606" s="4"/>
      <c r="D606" s="4"/>
      <c r="E606" s="5"/>
      <c r="F606" s="6"/>
      <c r="N606" s="7"/>
      <c r="W606" s="4"/>
      <c r="X606" s="4"/>
      <c r="Z606" s="7"/>
      <c r="AA606" s="4"/>
      <c r="AB606" s="3"/>
      <c r="AC606" s="3"/>
      <c r="AD606" s="3"/>
      <c r="AE606" s="3"/>
      <c r="AF606" s="3"/>
      <c r="AG606" s="3"/>
    </row>
    <row r="607" customFormat="false" ht="15.75" hidden="false" customHeight="false" outlineLevel="0" collapsed="false">
      <c r="A607" s="3"/>
      <c r="B607" s="3"/>
      <c r="C607" s="4"/>
      <c r="D607" s="4"/>
      <c r="E607" s="5"/>
      <c r="F607" s="6"/>
      <c r="N607" s="7"/>
      <c r="W607" s="4"/>
      <c r="X607" s="4"/>
      <c r="Z607" s="7"/>
      <c r="AA607" s="4"/>
      <c r="AB607" s="3"/>
      <c r="AC607" s="3"/>
      <c r="AD607" s="3"/>
      <c r="AE607" s="3"/>
      <c r="AF607" s="3"/>
      <c r="AG607" s="3"/>
    </row>
    <row r="608" customFormat="false" ht="15.75" hidden="false" customHeight="false" outlineLevel="0" collapsed="false">
      <c r="A608" s="3"/>
      <c r="B608" s="3"/>
      <c r="C608" s="4"/>
      <c r="D608" s="4"/>
      <c r="E608" s="5"/>
      <c r="F608" s="6"/>
      <c r="N608" s="7"/>
      <c r="W608" s="4"/>
      <c r="X608" s="4"/>
      <c r="Z608" s="7"/>
      <c r="AA608" s="4"/>
      <c r="AB608" s="3"/>
      <c r="AC608" s="3"/>
      <c r="AD608" s="3"/>
      <c r="AE608" s="3"/>
      <c r="AF608" s="3"/>
      <c r="AG608" s="3"/>
    </row>
    <row r="609" customFormat="false" ht="15.75" hidden="false" customHeight="false" outlineLevel="0" collapsed="false">
      <c r="A609" s="3"/>
      <c r="B609" s="3"/>
      <c r="C609" s="4"/>
      <c r="D609" s="4"/>
      <c r="E609" s="5"/>
      <c r="F609" s="6"/>
      <c r="N609" s="7"/>
      <c r="W609" s="4"/>
      <c r="X609" s="4"/>
      <c r="Z609" s="7"/>
      <c r="AA609" s="4"/>
      <c r="AB609" s="3"/>
      <c r="AC609" s="3"/>
      <c r="AD609" s="3"/>
      <c r="AE609" s="3"/>
      <c r="AF609" s="3"/>
      <c r="AG609" s="3"/>
    </row>
    <row r="610" customFormat="false" ht="15.75" hidden="false" customHeight="false" outlineLevel="0" collapsed="false">
      <c r="A610" s="3"/>
      <c r="B610" s="3"/>
      <c r="C610" s="4"/>
      <c r="D610" s="4"/>
      <c r="E610" s="5"/>
      <c r="F610" s="6"/>
      <c r="N610" s="7"/>
      <c r="W610" s="4"/>
      <c r="X610" s="4"/>
      <c r="Z610" s="7"/>
      <c r="AA610" s="4"/>
      <c r="AB610" s="3"/>
      <c r="AC610" s="3"/>
      <c r="AD610" s="3"/>
      <c r="AE610" s="3"/>
      <c r="AF610" s="3"/>
      <c r="AG610" s="3"/>
    </row>
    <row r="611" customFormat="false" ht="15.75" hidden="false" customHeight="false" outlineLevel="0" collapsed="false">
      <c r="A611" s="3"/>
      <c r="B611" s="3"/>
      <c r="C611" s="4"/>
      <c r="D611" s="4"/>
      <c r="E611" s="5"/>
      <c r="F611" s="6"/>
      <c r="N611" s="7"/>
      <c r="W611" s="4"/>
      <c r="X611" s="4"/>
      <c r="Z611" s="7"/>
      <c r="AA611" s="4"/>
      <c r="AB611" s="3"/>
      <c r="AC611" s="3"/>
      <c r="AD611" s="3"/>
      <c r="AE611" s="3"/>
      <c r="AF611" s="3"/>
      <c r="AG611" s="3"/>
    </row>
    <row r="612" customFormat="false" ht="15.75" hidden="false" customHeight="false" outlineLevel="0" collapsed="false">
      <c r="A612" s="3"/>
      <c r="B612" s="3"/>
      <c r="C612" s="4"/>
      <c r="D612" s="4"/>
      <c r="E612" s="5"/>
      <c r="F612" s="6"/>
      <c r="N612" s="7"/>
      <c r="W612" s="4"/>
      <c r="X612" s="4"/>
      <c r="Z612" s="7"/>
      <c r="AA612" s="4"/>
      <c r="AB612" s="3"/>
      <c r="AC612" s="3"/>
      <c r="AD612" s="3"/>
      <c r="AE612" s="3"/>
      <c r="AF612" s="3"/>
      <c r="AG612" s="3"/>
    </row>
    <row r="613" customFormat="false" ht="15.75" hidden="false" customHeight="false" outlineLevel="0" collapsed="false">
      <c r="A613" s="3"/>
      <c r="B613" s="3"/>
      <c r="C613" s="4"/>
      <c r="D613" s="4"/>
      <c r="E613" s="5"/>
      <c r="F613" s="6"/>
      <c r="N613" s="7"/>
      <c r="W613" s="4"/>
      <c r="X613" s="4"/>
      <c r="Z613" s="7"/>
      <c r="AA613" s="4"/>
      <c r="AB613" s="3"/>
      <c r="AC613" s="3"/>
      <c r="AD613" s="3"/>
      <c r="AE613" s="3"/>
      <c r="AF613" s="3"/>
      <c r="AG613" s="3"/>
    </row>
    <row r="614" customFormat="false" ht="15.75" hidden="false" customHeight="false" outlineLevel="0" collapsed="false">
      <c r="A614" s="3"/>
      <c r="B614" s="3"/>
      <c r="C614" s="4"/>
      <c r="D614" s="4"/>
      <c r="E614" s="5"/>
      <c r="F614" s="6"/>
      <c r="N614" s="7"/>
      <c r="W614" s="4"/>
      <c r="X614" s="4"/>
      <c r="Z614" s="7"/>
      <c r="AA614" s="4"/>
      <c r="AB614" s="3"/>
      <c r="AC614" s="3"/>
      <c r="AD614" s="3"/>
      <c r="AE614" s="3"/>
      <c r="AF614" s="3"/>
      <c r="AG614" s="3"/>
    </row>
    <row r="615" customFormat="false" ht="15.75" hidden="false" customHeight="false" outlineLevel="0" collapsed="false">
      <c r="A615" s="3"/>
      <c r="B615" s="3"/>
      <c r="C615" s="4"/>
      <c r="D615" s="4"/>
      <c r="E615" s="5"/>
      <c r="F615" s="6"/>
      <c r="N615" s="7"/>
      <c r="W615" s="4"/>
      <c r="X615" s="4"/>
      <c r="Z615" s="7"/>
      <c r="AA615" s="4"/>
      <c r="AB615" s="3"/>
      <c r="AC615" s="3"/>
      <c r="AD615" s="3"/>
      <c r="AE615" s="3"/>
      <c r="AF615" s="3"/>
      <c r="AG615" s="3"/>
    </row>
    <row r="616" customFormat="false" ht="15.75" hidden="false" customHeight="false" outlineLevel="0" collapsed="false">
      <c r="A616" s="3"/>
      <c r="B616" s="3"/>
      <c r="C616" s="4"/>
      <c r="D616" s="4"/>
      <c r="E616" s="5"/>
      <c r="F616" s="6"/>
      <c r="N616" s="7"/>
      <c r="W616" s="4"/>
      <c r="X616" s="4"/>
      <c r="Z616" s="7"/>
      <c r="AA616" s="4"/>
      <c r="AB616" s="3"/>
      <c r="AC616" s="3"/>
      <c r="AD616" s="3"/>
      <c r="AE616" s="3"/>
      <c r="AF616" s="3"/>
      <c r="AG616" s="3"/>
    </row>
    <row r="617" customFormat="false" ht="15.75" hidden="false" customHeight="false" outlineLevel="0" collapsed="false">
      <c r="A617" s="3"/>
      <c r="B617" s="3"/>
      <c r="C617" s="4"/>
      <c r="D617" s="4"/>
      <c r="E617" s="5"/>
      <c r="F617" s="6"/>
      <c r="N617" s="7"/>
      <c r="W617" s="4"/>
      <c r="X617" s="4"/>
      <c r="Z617" s="7"/>
      <c r="AA617" s="4"/>
      <c r="AB617" s="3"/>
      <c r="AC617" s="3"/>
      <c r="AD617" s="3"/>
      <c r="AE617" s="3"/>
      <c r="AF617" s="3"/>
      <c r="AG617" s="3"/>
    </row>
    <row r="618" customFormat="false" ht="15.75" hidden="false" customHeight="false" outlineLevel="0" collapsed="false">
      <c r="A618" s="3"/>
      <c r="B618" s="3"/>
      <c r="C618" s="4"/>
      <c r="D618" s="4"/>
      <c r="E618" s="5"/>
      <c r="F618" s="6"/>
      <c r="N618" s="7"/>
      <c r="W618" s="4"/>
      <c r="X618" s="4"/>
      <c r="Z618" s="7"/>
      <c r="AA618" s="4"/>
      <c r="AB618" s="3"/>
      <c r="AC618" s="3"/>
      <c r="AD618" s="3"/>
      <c r="AE618" s="3"/>
      <c r="AF618" s="3"/>
      <c r="AG618" s="3"/>
    </row>
    <row r="619" customFormat="false" ht="15.75" hidden="false" customHeight="false" outlineLevel="0" collapsed="false">
      <c r="A619" s="3"/>
      <c r="B619" s="3"/>
      <c r="C619" s="4"/>
      <c r="D619" s="4"/>
      <c r="E619" s="5"/>
      <c r="F619" s="6"/>
      <c r="N619" s="7"/>
      <c r="W619" s="4"/>
      <c r="X619" s="4"/>
      <c r="Z619" s="7"/>
      <c r="AA619" s="4"/>
      <c r="AB619" s="3"/>
      <c r="AC619" s="3"/>
      <c r="AD619" s="3"/>
      <c r="AE619" s="3"/>
      <c r="AF619" s="3"/>
      <c r="AG619" s="3"/>
    </row>
    <row r="620" customFormat="false" ht="15.75" hidden="false" customHeight="false" outlineLevel="0" collapsed="false">
      <c r="A620" s="3"/>
      <c r="B620" s="3"/>
      <c r="C620" s="4"/>
      <c r="D620" s="4"/>
      <c r="E620" s="5"/>
      <c r="F620" s="6"/>
      <c r="N620" s="7"/>
      <c r="W620" s="4"/>
      <c r="X620" s="4"/>
      <c r="Z620" s="7"/>
      <c r="AA620" s="4"/>
      <c r="AB620" s="3"/>
      <c r="AC620" s="3"/>
      <c r="AD620" s="3"/>
      <c r="AE620" s="3"/>
      <c r="AF620" s="3"/>
      <c r="AG620" s="3"/>
    </row>
    <row r="621" customFormat="false" ht="15.75" hidden="false" customHeight="false" outlineLevel="0" collapsed="false">
      <c r="A621" s="3"/>
      <c r="B621" s="3"/>
      <c r="C621" s="4"/>
      <c r="D621" s="4"/>
      <c r="E621" s="5"/>
      <c r="F621" s="6"/>
      <c r="N621" s="7"/>
      <c r="W621" s="4"/>
      <c r="X621" s="4"/>
      <c r="Z621" s="7"/>
      <c r="AA621" s="4"/>
      <c r="AB621" s="3"/>
      <c r="AC621" s="3"/>
      <c r="AD621" s="3"/>
      <c r="AE621" s="3"/>
      <c r="AF621" s="3"/>
      <c r="AG621" s="3"/>
    </row>
    <row r="622" customFormat="false" ht="15.75" hidden="false" customHeight="false" outlineLevel="0" collapsed="false">
      <c r="A622" s="3"/>
      <c r="B622" s="3"/>
      <c r="C622" s="4"/>
      <c r="D622" s="4"/>
      <c r="E622" s="5"/>
      <c r="F622" s="6"/>
      <c r="N622" s="7"/>
      <c r="W622" s="4"/>
      <c r="X622" s="4"/>
      <c r="Z622" s="7"/>
      <c r="AA622" s="4"/>
      <c r="AB622" s="3"/>
      <c r="AC622" s="3"/>
      <c r="AD622" s="3"/>
      <c r="AE622" s="3"/>
      <c r="AF622" s="3"/>
      <c r="AG622" s="3"/>
    </row>
    <row r="623" customFormat="false" ht="15.75" hidden="false" customHeight="false" outlineLevel="0" collapsed="false">
      <c r="A623" s="3"/>
      <c r="B623" s="3"/>
      <c r="C623" s="4"/>
      <c r="D623" s="4"/>
      <c r="E623" s="5"/>
      <c r="F623" s="6"/>
      <c r="N623" s="7"/>
      <c r="W623" s="4"/>
      <c r="X623" s="4"/>
      <c r="Z623" s="7"/>
      <c r="AA623" s="4"/>
      <c r="AB623" s="3"/>
      <c r="AC623" s="3"/>
      <c r="AD623" s="3"/>
      <c r="AE623" s="3"/>
      <c r="AF623" s="3"/>
      <c r="AG623" s="3"/>
    </row>
    <row r="624" customFormat="false" ht="15.75" hidden="false" customHeight="false" outlineLevel="0" collapsed="false">
      <c r="A624" s="3"/>
      <c r="B624" s="3"/>
      <c r="C624" s="4"/>
      <c r="D624" s="4"/>
      <c r="E624" s="5"/>
      <c r="F624" s="6"/>
      <c r="N624" s="7"/>
      <c r="W624" s="4"/>
      <c r="X624" s="4"/>
      <c r="Z624" s="7"/>
      <c r="AA624" s="4"/>
      <c r="AB624" s="3"/>
      <c r="AC624" s="3"/>
      <c r="AD624" s="3"/>
      <c r="AE624" s="3"/>
      <c r="AF624" s="3"/>
      <c r="AG624" s="3"/>
    </row>
    <row r="625" customFormat="false" ht="15.75" hidden="false" customHeight="false" outlineLevel="0" collapsed="false">
      <c r="A625" s="3"/>
      <c r="B625" s="3"/>
      <c r="C625" s="4"/>
      <c r="D625" s="4"/>
      <c r="E625" s="5"/>
      <c r="F625" s="6"/>
      <c r="N625" s="7"/>
      <c r="W625" s="4"/>
      <c r="X625" s="4"/>
      <c r="Z625" s="7"/>
      <c r="AA625" s="4"/>
      <c r="AB625" s="3"/>
      <c r="AC625" s="3"/>
      <c r="AD625" s="3"/>
      <c r="AE625" s="3"/>
      <c r="AF625" s="3"/>
      <c r="AG625" s="3"/>
    </row>
    <row r="626" customFormat="false" ht="15.75" hidden="false" customHeight="false" outlineLevel="0" collapsed="false">
      <c r="A626" s="3"/>
      <c r="B626" s="3"/>
      <c r="C626" s="4"/>
      <c r="D626" s="4"/>
      <c r="E626" s="5"/>
      <c r="F626" s="6"/>
      <c r="N626" s="7"/>
      <c r="W626" s="4"/>
      <c r="X626" s="4"/>
      <c r="Z626" s="7"/>
      <c r="AA626" s="4"/>
      <c r="AB626" s="3"/>
      <c r="AC626" s="3"/>
      <c r="AD626" s="3"/>
      <c r="AE626" s="3"/>
      <c r="AF626" s="3"/>
      <c r="AG626" s="3"/>
    </row>
    <row r="627" customFormat="false" ht="15.75" hidden="false" customHeight="false" outlineLevel="0" collapsed="false">
      <c r="A627" s="3"/>
      <c r="B627" s="3"/>
      <c r="C627" s="4"/>
      <c r="D627" s="4"/>
      <c r="E627" s="5"/>
      <c r="F627" s="6"/>
      <c r="N627" s="7"/>
      <c r="W627" s="4"/>
      <c r="X627" s="4"/>
      <c r="Z627" s="7"/>
      <c r="AA627" s="4"/>
      <c r="AB627" s="3"/>
      <c r="AC627" s="3"/>
      <c r="AD627" s="3"/>
      <c r="AE627" s="3"/>
      <c r="AF627" s="3"/>
      <c r="AG627" s="3"/>
    </row>
    <row r="628" customFormat="false" ht="15.75" hidden="false" customHeight="false" outlineLevel="0" collapsed="false">
      <c r="A628" s="3"/>
      <c r="B628" s="3"/>
      <c r="C628" s="4"/>
      <c r="D628" s="4"/>
      <c r="E628" s="5"/>
      <c r="F628" s="6"/>
      <c r="N628" s="7"/>
      <c r="W628" s="4"/>
      <c r="X628" s="4"/>
      <c r="Z628" s="7"/>
      <c r="AA628" s="4"/>
      <c r="AB628" s="3"/>
      <c r="AC628" s="3"/>
      <c r="AD628" s="3"/>
      <c r="AE628" s="3"/>
      <c r="AF628" s="3"/>
      <c r="AG628" s="3"/>
    </row>
    <row r="629" customFormat="false" ht="15.75" hidden="false" customHeight="false" outlineLevel="0" collapsed="false">
      <c r="A629" s="3"/>
      <c r="B629" s="3"/>
      <c r="C629" s="4"/>
      <c r="D629" s="4"/>
      <c r="E629" s="5"/>
      <c r="F629" s="6"/>
      <c r="N629" s="7"/>
      <c r="W629" s="4"/>
      <c r="X629" s="4"/>
      <c r="Z629" s="7"/>
      <c r="AA629" s="4"/>
      <c r="AB629" s="3"/>
      <c r="AC629" s="3"/>
      <c r="AD629" s="3"/>
      <c r="AE629" s="3"/>
      <c r="AF629" s="3"/>
      <c r="AG629" s="3"/>
    </row>
    <row r="630" customFormat="false" ht="15.75" hidden="false" customHeight="false" outlineLevel="0" collapsed="false">
      <c r="A630" s="3"/>
      <c r="B630" s="3"/>
      <c r="C630" s="4"/>
      <c r="D630" s="4"/>
      <c r="E630" s="5"/>
      <c r="F630" s="6"/>
      <c r="N630" s="7"/>
      <c r="W630" s="4"/>
      <c r="X630" s="4"/>
      <c r="Z630" s="7"/>
      <c r="AA630" s="4"/>
      <c r="AB630" s="3"/>
      <c r="AC630" s="3"/>
      <c r="AD630" s="3"/>
      <c r="AE630" s="3"/>
      <c r="AF630" s="3"/>
      <c r="AG630" s="3"/>
    </row>
    <row r="631" customFormat="false" ht="15.75" hidden="false" customHeight="false" outlineLevel="0" collapsed="false">
      <c r="A631" s="3"/>
      <c r="B631" s="3"/>
      <c r="C631" s="4"/>
      <c r="D631" s="4"/>
      <c r="E631" s="5"/>
      <c r="F631" s="6"/>
      <c r="N631" s="7"/>
      <c r="W631" s="4"/>
      <c r="X631" s="4"/>
      <c r="Z631" s="7"/>
      <c r="AA631" s="4"/>
      <c r="AB631" s="3"/>
      <c r="AC631" s="3"/>
      <c r="AD631" s="3"/>
      <c r="AE631" s="3"/>
      <c r="AF631" s="3"/>
      <c r="AG631" s="3"/>
    </row>
    <row r="632" customFormat="false" ht="15.75" hidden="false" customHeight="false" outlineLevel="0" collapsed="false">
      <c r="A632" s="3"/>
      <c r="B632" s="3"/>
      <c r="C632" s="4"/>
      <c r="D632" s="4"/>
      <c r="E632" s="5"/>
      <c r="F632" s="6"/>
      <c r="N632" s="7"/>
      <c r="W632" s="4"/>
      <c r="X632" s="4"/>
      <c r="Z632" s="7"/>
      <c r="AA632" s="4"/>
      <c r="AB632" s="3"/>
      <c r="AC632" s="3"/>
      <c r="AD632" s="3"/>
      <c r="AE632" s="3"/>
      <c r="AF632" s="3"/>
      <c r="AG632" s="3"/>
    </row>
    <row r="633" customFormat="false" ht="15.75" hidden="false" customHeight="false" outlineLevel="0" collapsed="false">
      <c r="A633" s="3"/>
      <c r="B633" s="3"/>
      <c r="C633" s="4"/>
      <c r="D633" s="4"/>
      <c r="E633" s="5"/>
      <c r="F633" s="6"/>
      <c r="N633" s="7"/>
      <c r="W633" s="4"/>
      <c r="X633" s="4"/>
      <c r="Z633" s="7"/>
      <c r="AA633" s="4"/>
      <c r="AB633" s="3"/>
      <c r="AC633" s="3"/>
      <c r="AD633" s="3"/>
      <c r="AE633" s="3"/>
      <c r="AF633" s="3"/>
      <c r="AG633" s="3"/>
    </row>
    <row r="634" customFormat="false" ht="15.75" hidden="false" customHeight="false" outlineLevel="0" collapsed="false">
      <c r="A634" s="3"/>
      <c r="B634" s="3"/>
      <c r="C634" s="4"/>
      <c r="D634" s="4"/>
      <c r="E634" s="5"/>
      <c r="F634" s="6"/>
      <c r="N634" s="7"/>
      <c r="W634" s="4"/>
      <c r="X634" s="4"/>
      <c r="Z634" s="7"/>
      <c r="AA634" s="4"/>
      <c r="AB634" s="3"/>
      <c r="AC634" s="3"/>
      <c r="AD634" s="3"/>
      <c r="AE634" s="3"/>
      <c r="AF634" s="3"/>
      <c r="AG634" s="3"/>
    </row>
    <row r="635" customFormat="false" ht="15.75" hidden="false" customHeight="false" outlineLevel="0" collapsed="false">
      <c r="A635" s="3"/>
      <c r="B635" s="3"/>
      <c r="C635" s="4"/>
      <c r="D635" s="4"/>
      <c r="E635" s="5"/>
      <c r="F635" s="6"/>
      <c r="N635" s="7"/>
      <c r="W635" s="4"/>
      <c r="X635" s="4"/>
      <c r="Z635" s="7"/>
      <c r="AA635" s="4"/>
      <c r="AB635" s="3"/>
      <c r="AC635" s="3"/>
      <c r="AD635" s="3"/>
      <c r="AE635" s="3"/>
      <c r="AF635" s="3"/>
      <c r="AG635" s="3"/>
    </row>
    <row r="636" customFormat="false" ht="15.75" hidden="false" customHeight="false" outlineLevel="0" collapsed="false">
      <c r="A636" s="3"/>
      <c r="B636" s="3"/>
      <c r="C636" s="4"/>
      <c r="D636" s="4"/>
      <c r="E636" s="5"/>
      <c r="F636" s="6"/>
      <c r="N636" s="7"/>
      <c r="W636" s="4"/>
      <c r="X636" s="4"/>
      <c r="Z636" s="7"/>
      <c r="AA636" s="4"/>
      <c r="AB636" s="3"/>
      <c r="AC636" s="3"/>
      <c r="AD636" s="3"/>
      <c r="AE636" s="3"/>
      <c r="AF636" s="3"/>
      <c r="AG636" s="3"/>
    </row>
    <row r="637" customFormat="false" ht="15.75" hidden="false" customHeight="false" outlineLevel="0" collapsed="false">
      <c r="A637" s="3"/>
      <c r="B637" s="3"/>
      <c r="C637" s="4"/>
      <c r="D637" s="4"/>
      <c r="E637" s="5"/>
      <c r="F637" s="6"/>
      <c r="N637" s="7"/>
      <c r="W637" s="4"/>
      <c r="X637" s="4"/>
      <c r="Z637" s="7"/>
      <c r="AA637" s="4"/>
      <c r="AB637" s="3"/>
      <c r="AC637" s="3"/>
      <c r="AD637" s="3"/>
      <c r="AE637" s="3"/>
      <c r="AF637" s="3"/>
      <c r="AG637" s="3"/>
    </row>
    <row r="638" customFormat="false" ht="15.75" hidden="false" customHeight="false" outlineLevel="0" collapsed="false">
      <c r="A638" s="3"/>
      <c r="B638" s="3"/>
      <c r="C638" s="4"/>
      <c r="D638" s="4"/>
      <c r="E638" s="5"/>
      <c r="F638" s="6"/>
      <c r="N638" s="7"/>
      <c r="W638" s="4"/>
      <c r="X638" s="4"/>
      <c r="Z638" s="7"/>
      <c r="AA638" s="4"/>
      <c r="AB638" s="3"/>
      <c r="AC638" s="3"/>
      <c r="AD638" s="3"/>
      <c r="AE638" s="3"/>
      <c r="AF638" s="3"/>
      <c r="AG638" s="3"/>
    </row>
    <row r="639" customFormat="false" ht="15.75" hidden="false" customHeight="false" outlineLevel="0" collapsed="false">
      <c r="A639" s="3"/>
      <c r="B639" s="3"/>
      <c r="C639" s="4"/>
      <c r="D639" s="4"/>
      <c r="E639" s="5"/>
      <c r="F639" s="6"/>
      <c r="N639" s="7"/>
      <c r="W639" s="4"/>
      <c r="X639" s="4"/>
      <c r="Z639" s="7"/>
      <c r="AA639" s="4"/>
      <c r="AB639" s="3"/>
      <c r="AC639" s="3"/>
      <c r="AD639" s="3"/>
      <c r="AE639" s="3"/>
      <c r="AF639" s="3"/>
      <c r="AG639" s="3"/>
    </row>
    <row r="640" customFormat="false" ht="15.75" hidden="false" customHeight="false" outlineLevel="0" collapsed="false">
      <c r="A640" s="3"/>
      <c r="B640" s="3"/>
      <c r="C640" s="4"/>
      <c r="D640" s="4"/>
      <c r="E640" s="5"/>
      <c r="F640" s="6"/>
      <c r="N640" s="7"/>
      <c r="W640" s="4"/>
      <c r="X640" s="4"/>
      <c r="Z640" s="7"/>
      <c r="AA640" s="4"/>
      <c r="AB640" s="3"/>
      <c r="AC640" s="3"/>
      <c r="AD640" s="3"/>
      <c r="AE640" s="3"/>
      <c r="AF640" s="3"/>
      <c r="AG640" s="3"/>
    </row>
    <row r="641" customFormat="false" ht="15.75" hidden="false" customHeight="false" outlineLevel="0" collapsed="false">
      <c r="A641" s="3"/>
      <c r="B641" s="3"/>
      <c r="C641" s="4"/>
      <c r="D641" s="4"/>
      <c r="E641" s="5"/>
      <c r="F641" s="6"/>
      <c r="N641" s="7"/>
      <c r="W641" s="4"/>
      <c r="X641" s="4"/>
      <c r="Z641" s="7"/>
      <c r="AA641" s="4"/>
      <c r="AB641" s="3"/>
      <c r="AC641" s="3"/>
      <c r="AD641" s="3"/>
      <c r="AE641" s="3"/>
      <c r="AF641" s="3"/>
      <c r="AG641" s="3"/>
    </row>
    <row r="642" customFormat="false" ht="15.75" hidden="false" customHeight="false" outlineLevel="0" collapsed="false">
      <c r="A642" s="3"/>
      <c r="B642" s="3"/>
      <c r="C642" s="4"/>
      <c r="D642" s="4"/>
      <c r="E642" s="5"/>
      <c r="F642" s="6"/>
      <c r="N642" s="7"/>
      <c r="W642" s="4"/>
      <c r="X642" s="4"/>
      <c r="Z642" s="7"/>
      <c r="AA642" s="4"/>
      <c r="AB642" s="3"/>
      <c r="AC642" s="3"/>
      <c r="AD642" s="3"/>
      <c r="AE642" s="3"/>
      <c r="AF642" s="3"/>
      <c r="AG642" s="3"/>
    </row>
    <row r="643" customFormat="false" ht="15.75" hidden="false" customHeight="false" outlineLevel="0" collapsed="false">
      <c r="A643" s="3"/>
      <c r="B643" s="3"/>
      <c r="C643" s="4"/>
      <c r="D643" s="4"/>
      <c r="E643" s="5"/>
      <c r="F643" s="6"/>
      <c r="N643" s="7"/>
      <c r="W643" s="4"/>
      <c r="X643" s="4"/>
      <c r="Z643" s="7"/>
      <c r="AA643" s="4"/>
      <c r="AB643" s="3"/>
      <c r="AC643" s="3"/>
      <c r="AD643" s="3"/>
      <c r="AE643" s="3"/>
      <c r="AF643" s="3"/>
      <c r="AG643" s="3"/>
    </row>
    <row r="644" customFormat="false" ht="15.75" hidden="false" customHeight="false" outlineLevel="0" collapsed="false">
      <c r="A644" s="3"/>
      <c r="B644" s="3"/>
      <c r="C644" s="4"/>
      <c r="D644" s="4"/>
      <c r="E644" s="5"/>
      <c r="F644" s="6"/>
      <c r="N644" s="7"/>
      <c r="W644" s="4"/>
      <c r="X644" s="4"/>
      <c r="Z644" s="7"/>
      <c r="AA644" s="4"/>
      <c r="AB644" s="3"/>
      <c r="AC644" s="3"/>
      <c r="AD644" s="3"/>
      <c r="AE644" s="3"/>
      <c r="AF644" s="3"/>
      <c r="AG644" s="3"/>
    </row>
    <row r="645" customFormat="false" ht="15.75" hidden="false" customHeight="false" outlineLevel="0" collapsed="false">
      <c r="A645" s="3"/>
      <c r="B645" s="3"/>
      <c r="C645" s="4"/>
      <c r="D645" s="4"/>
      <c r="E645" s="5"/>
      <c r="F645" s="6"/>
      <c r="N645" s="7"/>
      <c r="W645" s="4"/>
      <c r="X645" s="4"/>
      <c r="Z645" s="7"/>
      <c r="AA645" s="4"/>
      <c r="AB645" s="3"/>
      <c r="AC645" s="3"/>
      <c r="AD645" s="3"/>
      <c r="AE645" s="3"/>
      <c r="AF645" s="3"/>
      <c r="AG645" s="3"/>
    </row>
    <row r="646" customFormat="false" ht="15.75" hidden="false" customHeight="false" outlineLevel="0" collapsed="false">
      <c r="A646" s="3"/>
      <c r="B646" s="3"/>
      <c r="C646" s="4"/>
      <c r="D646" s="4"/>
      <c r="E646" s="5"/>
      <c r="F646" s="6"/>
      <c r="N646" s="7"/>
      <c r="W646" s="4"/>
      <c r="X646" s="4"/>
      <c r="Z646" s="7"/>
      <c r="AA646" s="4"/>
      <c r="AB646" s="3"/>
      <c r="AC646" s="3"/>
      <c r="AD646" s="3"/>
      <c r="AE646" s="3"/>
      <c r="AF646" s="3"/>
      <c r="AG646" s="3"/>
    </row>
    <row r="647" customFormat="false" ht="15.75" hidden="false" customHeight="false" outlineLevel="0" collapsed="false">
      <c r="A647" s="3"/>
      <c r="B647" s="3"/>
      <c r="C647" s="4"/>
      <c r="D647" s="4"/>
      <c r="E647" s="5"/>
      <c r="F647" s="6"/>
      <c r="N647" s="7"/>
      <c r="W647" s="4"/>
      <c r="X647" s="4"/>
      <c r="Z647" s="7"/>
      <c r="AA647" s="4"/>
      <c r="AB647" s="3"/>
      <c r="AC647" s="3"/>
      <c r="AD647" s="3"/>
      <c r="AE647" s="3"/>
      <c r="AF647" s="3"/>
      <c r="AG647" s="3"/>
    </row>
    <row r="648" customFormat="false" ht="15.75" hidden="false" customHeight="false" outlineLevel="0" collapsed="false">
      <c r="A648" s="3"/>
      <c r="B648" s="3"/>
      <c r="C648" s="4"/>
      <c r="D648" s="4"/>
      <c r="E648" s="5"/>
      <c r="F648" s="6"/>
      <c r="N648" s="7"/>
      <c r="W648" s="4"/>
      <c r="X648" s="4"/>
      <c r="Z648" s="7"/>
      <c r="AA648" s="4"/>
      <c r="AB648" s="3"/>
      <c r="AC648" s="3"/>
      <c r="AD648" s="3"/>
      <c r="AE648" s="3"/>
      <c r="AF648" s="3"/>
      <c r="AG648" s="3"/>
    </row>
    <row r="649" customFormat="false" ht="15.75" hidden="false" customHeight="false" outlineLevel="0" collapsed="false">
      <c r="A649" s="3"/>
      <c r="B649" s="3"/>
      <c r="C649" s="4"/>
      <c r="D649" s="4"/>
      <c r="E649" s="5"/>
      <c r="F649" s="6"/>
      <c r="N649" s="7"/>
      <c r="W649" s="4"/>
      <c r="X649" s="4"/>
      <c r="Z649" s="7"/>
      <c r="AA649" s="4"/>
      <c r="AB649" s="3"/>
      <c r="AC649" s="3"/>
      <c r="AD649" s="3"/>
      <c r="AE649" s="3"/>
      <c r="AF649" s="3"/>
      <c r="AG649" s="3"/>
    </row>
    <row r="650" customFormat="false" ht="15.75" hidden="false" customHeight="false" outlineLevel="0" collapsed="false">
      <c r="A650" s="3"/>
      <c r="B650" s="3"/>
      <c r="C650" s="4"/>
      <c r="D650" s="4"/>
      <c r="E650" s="5"/>
      <c r="F650" s="6"/>
      <c r="N650" s="7"/>
      <c r="W650" s="4"/>
      <c r="X650" s="4"/>
      <c r="Z650" s="7"/>
      <c r="AA650" s="4"/>
      <c r="AB650" s="3"/>
      <c r="AC650" s="3"/>
      <c r="AD650" s="3"/>
      <c r="AE650" s="3"/>
      <c r="AF650" s="3"/>
      <c r="AG650" s="3"/>
    </row>
    <row r="651" customFormat="false" ht="15.75" hidden="false" customHeight="false" outlineLevel="0" collapsed="false">
      <c r="A651" s="3"/>
      <c r="B651" s="3"/>
      <c r="C651" s="4"/>
      <c r="D651" s="4"/>
      <c r="E651" s="5"/>
      <c r="F651" s="6"/>
      <c r="N651" s="7"/>
      <c r="W651" s="4"/>
      <c r="X651" s="4"/>
      <c r="Z651" s="7"/>
      <c r="AA651" s="4"/>
      <c r="AB651" s="3"/>
      <c r="AC651" s="3"/>
      <c r="AD651" s="3"/>
      <c r="AE651" s="3"/>
      <c r="AF651" s="3"/>
      <c r="AG651" s="3"/>
    </row>
    <row r="652" customFormat="false" ht="15.75" hidden="false" customHeight="false" outlineLevel="0" collapsed="false">
      <c r="A652" s="3"/>
      <c r="B652" s="3"/>
      <c r="C652" s="4"/>
      <c r="D652" s="4"/>
      <c r="E652" s="5"/>
      <c r="F652" s="6"/>
      <c r="N652" s="7"/>
      <c r="W652" s="4"/>
      <c r="X652" s="4"/>
      <c r="Z652" s="7"/>
      <c r="AA652" s="4"/>
      <c r="AB652" s="3"/>
      <c r="AC652" s="3"/>
      <c r="AD652" s="3"/>
      <c r="AE652" s="3"/>
      <c r="AF652" s="3"/>
      <c r="AG652" s="3"/>
    </row>
    <row r="653" customFormat="false" ht="15.75" hidden="false" customHeight="false" outlineLevel="0" collapsed="false">
      <c r="A653" s="3"/>
      <c r="B653" s="3"/>
      <c r="C653" s="4"/>
      <c r="D653" s="4"/>
      <c r="E653" s="5"/>
      <c r="F653" s="6"/>
      <c r="N653" s="7"/>
      <c r="W653" s="4"/>
      <c r="X653" s="4"/>
      <c r="Z653" s="7"/>
      <c r="AA653" s="4"/>
      <c r="AB653" s="3"/>
      <c r="AC653" s="3"/>
      <c r="AD653" s="3"/>
      <c r="AE653" s="3"/>
      <c r="AF653" s="3"/>
      <c r="AG653" s="3"/>
    </row>
    <row r="654" customFormat="false" ht="15.75" hidden="false" customHeight="false" outlineLevel="0" collapsed="false">
      <c r="A654" s="3"/>
      <c r="B654" s="3"/>
      <c r="C654" s="4"/>
      <c r="D654" s="4"/>
      <c r="E654" s="5"/>
      <c r="F654" s="6"/>
      <c r="N654" s="7"/>
      <c r="W654" s="4"/>
      <c r="X654" s="4"/>
      <c r="Z654" s="7"/>
      <c r="AA654" s="4"/>
      <c r="AB654" s="3"/>
      <c r="AC654" s="3"/>
      <c r="AD654" s="3"/>
      <c r="AE654" s="3"/>
      <c r="AF654" s="3"/>
      <c r="AG654" s="3"/>
    </row>
    <row r="655" customFormat="false" ht="15.75" hidden="false" customHeight="false" outlineLevel="0" collapsed="false">
      <c r="A655" s="3"/>
      <c r="B655" s="3"/>
      <c r="C655" s="4"/>
      <c r="D655" s="4"/>
      <c r="E655" s="5"/>
      <c r="F655" s="6"/>
      <c r="N655" s="7"/>
      <c r="W655" s="4"/>
      <c r="X655" s="4"/>
      <c r="Z655" s="7"/>
      <c r="AA655" s="4"/>
      <c r="AB655" s="3"/>
      <c r="AC655" s="3"/>
      <c r="AD655" s="3"/>
      <c r="AE655" s="3"/>
      <c r="AF655" s="3"/>
      <c r="AG655" s="3"/>
    </row>
    <row r="656" customFormat="false" ht="15.75" hidden="false" customHeight="false" outlineLevel="0" collapsed="false">
      <c r="A656" s="3"/>
      <c r="B656" s="3"/>
      <c r="C656" s="4"/>
      <c r="D656" s="4"/>
      <c r="E656" s="5"/>
      <c r="F656" s="6"/>
      <c r="N656" s="7"/>
      <c r="W656" s="4"/>
      <c r="X656" s="4"/>
      <c r="Z656" s="7"/>
      <c r="AA656" s="4"/>
      <c r="AB656" s="3"/>
      <c r="AC656" s="3"/>
      <c r="AD656" s="3"/>
      <c r="AE656" s="3"/>
      <c r="AF656" s="3"/>
      <c r="AG656" s="3"/>
    </row>
    <row r="657" customFormat="false" ht="15.75" hidden="false" customHeight="false" outlineLevel="0" collapsed="false">
      <c r="A657" s="3"/>
      <c r="B657" s="3"/>
      <c r="C657" s="4"/>
      <c r="D657" s="4"/>
      <c r="E657" s="5"/>
      <c r="F657" s="6"/>
      <c r="N657" s="7"/>
      <c r="W657" s="4"/>
      <c r="X657" s="4"/>
      <c r="Z657" s="7"/>
      <c r="AA657" s="4"/>
      <c r="AB657" s="3"/>
      <c r="AC657" s="3"/>
      <c r="AD657" s="3"/>
      <c r="AE657" s="3"/>
      <c r="AF657" s="3"/>
      <c r="AG657" s="3"/>
    </row>
    <row r="658" customFormat="false" ht="15.75" hidden="false" customHeight="false" outlineLevel="0" collapsed="false">
      <c r="A658" s="3"/>
      <c r="B658" s="3"/>
      <c r="C658" s="4"/>
      <c r="D658" s="4"/>
      <c r="E658" s="5"/>
      <c r="F658" s="6"/>
      <c r="N658" s="7"/>
      <c r="W658" s="4"/>
      <c r="X658" s="4"/>
      <c r="Z658" s="7"/>
      <c r="AA658" s="4"/>
      <c r="AB658" s="3"/>
      <c r="AC658" s="3"/>
      <c r="AD658" s="3"/>
      <c r="AE658" s="3"/>
      <c r="AF658" s="3"/>
      <c r="AG658" s="3"/>
    </row>
    <row r="659" customFormat="false" ht="15.75" hidden="false" customHeight="false" outlineLevel="0" collapsed="false">
      <c r="A659" s="3"/>
      <c r="B659" s="3"/>
      <c r="C659" s="4"/>
      <c r="D659" s="4"/>
      <c r="E659" s="5"/>
      <c r="F659" s="6"/>
      <c r="N659" s="7"/>
      <c r="W659" s="4"/>
      <c r="X659" s="4"/>
      <c r="Z659" s="7"/>
      <c r="AA659" s="4"/>
      <c r="AB659" s="3"/>
      <c r="AC659" s="3"/>
      <c r="AD659" s="3"/>
      <c r="AE659" s="3"/>
      <c r="AF659" s="3"/>
      <c r="AG659" s="3"/>
    </row>
    <row r="660" customFormat="false" ht="15.75" hidden="false" customHeight="false" outlineLevel="0" collapsed="false">
      <c r="A660" s="3"/>
      <c r="B660" s="3"/>
      <c r="C660" s="4"/>
      <c r="D660" s="4"/>
      <c r="E660" s="5"/>
      <c r="F660" s="6"/>
      <c r="N660" s="7"/>
      <c r="W660" s="4"/>
      <c r="X660" s="4"/>
      <c r="Z660" s="7"/>
      <c r="AA660" s="4"/>
      <c r="AB660" s="3"/>
      <c r="AC660" s="3"/>
      <c r="AD660" s="3"/>
      <c r="AE660" s="3"/>
      <c r="AF660" s="3"/>
      <c r="AG660" s="3"/>
    </row>
    <row r="661" customFormat="false" ht="15.75" hidden="false" customHeight="false" outlineLevel="0" collapsed="false">
      <c r="A661" s="3"/>
      <c r="B661" s="3"/>
      <c r="C661" s="4"/>
      <c r="D661" s="4"/>
      <c r="E661" s="5"/>
      <c r="F661" s="6"/>
      <c r="N661" s="7"/>
      <c r="W661" s="4"/>
      <c r="X661" s="4"/>
      <c r="Z661" s="7"/>
      <c r="AA661" s="4"/>
      <c r="AB661" s="3"/>
      <c r="AC661" s="3"/>
      <c r="AD661" s="3"/>
      <c r="AE661" s="3"/>
      <c r="AF661" s="3"/>
      <c r="AG661" s="3"/>
    </row>
    <row r="662" customFormat="false" ht="15.75" hidden="false" customHeight="false" outlineLevel="0" collapsed="false">
      <c r="A662" s="3"/>
      <c r="B662" s="3"/>
      <c r="C662" s="4"/>
      <c r="D662" s="4"/>
      <c r="E662" s="5"/>
      <c r="F662" s="6"/>
      <c r="N662" s="7"/>
      <c r="W662" s="4"/>
      <c r="X662" s="4"/>
      <c r="Z662" s="7"/>
      <c r="AA662" s="4"/>
      <c r="AB662" s="3"/>
      <c r="AC662" s="3"/>
      <c r="AD662" s="3"/>
      <c r="AE662" s="3"/>
      <c r="AF662" s="3"/>
      <c r="AG662" s="3"/>
    </row>
    <row r="663" customFormat="false" ht="15.75" hidden="false" customHeight="false" outlineLevel="0" collapsed="false">
      <c r="A663" s="3"/>
      <c r="B663" s="3"/>
      <c r="C663" s="4"/>
      <c r="D663" s="4"/>
      <c r="E663" s="5"/>
      <c r="F663" s="6"/>
      <c r="N663" s="7"/>
      <c r="W663" s="4"/>
      <c r="X663" s="4"/>
      <c r="Z663" s="7"/>
      <c r="AA663" s="4"/>
      <c r="AB663" s="3"/>
      <c r="AC663" s="3"/>
      <c r="AD663" s="3"/>
      <c r="AE663" s="3"/>
      <c r="AF663" s="3"/>
      <c r="AG663" s="3"/>
    </row>
    <row r="664" customFormat="false" ht="15.75" hidden="false" customHeight="false" outlineLevel="0" collapsed="false">
      <c r="A664" s="3"/>
      <c r="B664" s="3"/>
      <c r="C664" s="4"/>
      <c r="D664" s="4"/>
      <c r="E664" s="5"/>
      <c r="F664" s="6"/>
      <c r="N664" s="7"/>
      <c r="W664" s="4"/>
      <c r="X664" s="4"/>
      <c r="Z664" s="7"/>
      <c r="AA664" s="4"/>
      <c r="AB664" s="3"/>
      <c r="AC664" s="3"/>
      <c r="AD664" s="3"/>
      <c r="AE664" s="3"/>
      <c r="AF664" s="3"/>
      <c r="AG664" s="3"/>
    </row>
    <row r="665" customFormat="false" ht="15.75" hidden="false" customHeight="false" outlineLevel="0" collapsed="false">
      <c r="A665" s="3"/>
      <c r="B665" s="3"/>
      <c r="C665" s="4"/>
      <c r="D665" s="4"/>
      <c r="E665" s="5"/>
      <c r="F665" s="6"/>
      <c r="N665" s="7"/>
      <c r="W665" s="4"/>
      <c r="X665" s="4"/>
      <c r="Z665" s="7"/>
      <c r="AA665" s="4"/>
      <c r="AB665" s="3"/>
      <c r="AC665" s="3"/>
      <c r="AD665" s="3"/>
      <c r="AE665" s="3"/>
      <c r="AF665" s="3"/>
      <c r="AG665" s="3"/>
    </row>
    <row r="666" customFormat="false" ht="15.75" hidden="false" customHeight="false" outlineLevel="0" collapsed="false">
      <c r="A666" s="3"/>
      <c r="B666" s="3"/>
      <c r="C666" s="4"/>
      <c r="D666" s="4"/>
      <c r="E666" s="5"/>
      <c r="F666" s="6"/>
      <c r="N666" s="7"/>
      <c r="W666" s="4"/>
      <c r="X666" s="4"/>
      <c r="Z666" s="7"/>
      <c r="AA666" s="4"/>
      <c r="AB666" s="3"/>
      <c r="AC666" s="3"/>
      <c r="AD666" s="3"/>
      <c r="AE666" s="3"/>
      <c r="AF666" s="3"/>
      <c r="AG666" s="3"/>
    </row>
    <row r="667" customFormat="false" ht="15.75" hidden="false" customHeight="false" outlineLevel="0" collapsed="false">
      <c r="A667" s="3"/>
      <c r="B667" s="3"/>
      <c r="C667" s="4"/>
      <c r="D667" s="4"/>
      <c r="E667" s="5"/>
      <c r="F667" s="6"/>
      <c r="N667" s="7"/>
      <c r="W667" s="4"/>
      <c r="X667" s="4"/>
      <c r="Z667" s="7"/>
      <c r="AA667" s="4"/>
      <c r="AB667" s="3"/>
      <c r="AC667" s="3"/>
      <c r="AD667" s="3"/>
      <c r="AE667" s="3"/>
      <c r="AF667" s="3"/>
      <c r="AG667" s="3"/>
    </row>
    <row r="668" customFormat="false" ht="15.75" hidden="false" customHeight="false" outlineLevel="0" collapsed="false">
      <c r="A668" s="3"/>
      <c r="B668" s="3"/>
      <c r="C668" s="4"/>
      <c r="D668" s="4"/>
      <c r="E668" s="5"/>
      <c r="F668" s="6"/>
      <c r="N668" s="7"/>
      <c r="W668" s="4"/>
      <c r="X668" s="4"/>
      <c r="Z668" s="7"/>
      <c r="AA668" s="4"/>
      <c r="AB668" s="3"/>
      <c r="AC668" s="3"/>
      <c r="AD668" s="3"/>
      <c r="AE668" s="3"/>
      <c r="AF668" s="3"/>
      <c r="AG668" s="3"/>
    </row>
    <row r="669" customFormat="false" ht="15.75" hidden="false" customHeight="false" outlineLevel="0" collapsed="false">
      <c r="A669" s="3"/>
      <c r="B669" s="3"/>
      <c r="C669" s="4"/>
      <c r="D669" s="4"/>
      <c r="E669" s="5"/>
      <c r="F669" s="6"/>
      <c r="N669" s="7"/>
      <c r="W669" s="4"/>
      <c r="X669" s="4"/>
      <c r="Z669" s="7"/>
      <c r="AA669" s="4"/>
      <c r="AB669" s="3"/>
      <c r="AC669" s="3"/>
      <c r="AD669" s="3"/>
      <c r="AE669" s="3"/>
      <c r="AF669" s="3"/>
      <c r="AG669" s="3"/>
    </row>
    <row r="670" customFormat="false" ht="15.75" hidden="false" customHeight="false" outlineLevel="0" collapsed="false">
      <c r="A670" s="3"/>
      <c r="B670" s="3"/>
      <c r="C670" s="4"/>
      <c r="D670" s="4"/>
      <c r="E670" s="5"/>
      <c r="F670" s="6"/>
      <c r="N670" s="7"/>
      <c r="W670" s="4"/>
      <c r="X670" s="4"/>
      <c r="Z670" s="7"/>
      <c r="AA670" s="4"/>
      <c r="AB670" s="3"/>
      <c r="AC670" s="3"/>
      <c r="AD670" s="3"/>
      <c r="AE670" s="3"/>
      <c r="AF670" s="3"/>
      <c r="AG670" s="3"/>
    </row>
    <row r="671" customFormat="false" ht="15.75" hidden="false" customHeight="false" outlineLevel="0" collapsed="false">
      <c r="A671" s="3"/>
      <c r="B671" s="3"/>
      <c r="C671" s="4"/>
      <c r="D671" s="4"/>
      <c r="E671" s="5"/>
      <c r="F671" s="6"/>
      <c r="N671" s="7"/>
      <c r="W671" s="4"/>
      <c r="X671" s="4"/>
      <c r="Z671" s="7"/>
      <c r="AA671" s="4"/>
      <c r="AB671" s="3"/>
      <c r="AC671" s="3"/>
      <c r="AD671" s="3"/>
      <c r="AE671" s="3"/>
      <c r="AF671" s="3"/>
      <c r="AG671" s="3"/>
    </row>
    <row r="672" customFormat="false" ht="15.75" hidden="false" customHeight="false" outlineLevel="0" collapsed="false">
      <c r="A672" s="3"/>
      <c r="B672" s="3"/>
      <c r="C672" s="4"/>
      <c r="D672" s="4"/>
      <c r="E672" s="5"/>
      <c r="F672" s="6"/>
      <c r="N672" s="7"/>
      <c r="W672" s="4"/>
      <c r="X672" s="4"/>
      <c r="Z672" s="7"/>
      <c r="AA672" s="4"/>
      <c r="AB672" s="3"/>
      <c r="AC672" s="3"/>
      <c r="AD672" s="3"/>
      <c r="AE672" s="3"/>
      <c r="AF672" s="3"/>
      <c r="AG672" s="3"/>
    </row>
    <row r="673" customFormat="false" ht="15.75" hidden="false" customHeight="false" outlineLevel="0" collapsed="false">
      <c r="A673" s="3"/>
      <c r="B673" s="3"/>
      <c r="C673" s="4"/>
      <c r="D673" s="4"/>
      <c r="E673" s="5"/>
      <c r="F673" s="6"/>
      <c r="N673" s="7"/>
      <c r="W673" s="4"/>
      <c r="X673" s="4"/>
      <c r="Z673" s="7"/>
      <c r="AA673" s="4"/>
      <c r="AB673" s="3"/>
      <c r="AC673" s="3"/>
      <c r="AD673" s="3"/>
      <c r="AE673" s="3"/>
      <c r="AF673" s="3"/>
      <c r="AG673" s="3"/>
    </row>
    <row r="674" customFormat="false" ht="15.75" hidden="false" customHeight="false" outlineLevel="0" collapsed="false">
      <c r="A674" s="3"/>
      <c r="B674" s="3"/>
      <c r="C674" s="4"/>
      <c r="D674" s="4"/>
      <c r="E674" s="5"/>
      <c r="F674" s="6"/>
      <c r="N674" s="7"/>
      <c r="W674" s="4"/>
      <c r="X674" s="4"/>
      <c r="Z674" s="7"/>
      <c r="AA674" s="4"/>
      <c r="AB674" s="3"/>
      <c r="AC674" s="3"/>
      <c r="AD674" s="3"/>
      <c r="AE674" s="3"/>
      <c r="AF674" s="3"/>
      <c r="AG674" s="3"/>
    </row>
    <row r="675" customFormat="false" ht="15.75" hidden="false" customHeight="false" outlineLevel="0" collapsed="false">
      <c r="A675" s="3"/>
      <c r="B675" s="3"/>
      <c r="C675" s="4"/>
      <c r="D675" s="4"/>
      <c r="E675" s="5"/>
      <c r="F675" s="6"/>
      <c r="N675" s="7"/>
      <c r="W675" s="4"/>
      <c r="X675" s="4"/>
      <c r="Z675" s="7"/>
      <c r="AA675" s="4"/>
      <c r="AB675" s="3"/>
      <c r="AC675" s="3"/>
      <c r="AD675" s="3"/>
      <c r="AE675" s="3"/>
      <c r="AF675" s="3"/>
      <c r="AG675" s="3"/>
    </row>
    <row r="676" customFormat="false" ht="15.75" hidden="false" customHeight="false" outlineLevel="0" collapsed="false">
      <c r="A676" s="3"/>
      <c r="B676" s="3"/>
      <c r="C676" s="4"/>
      <c r="D676" s="4"/>
      <c r="E676" s="5"/>
      <c r="F676" s="6"/>
      <c r="N676" s="7"/>
      <c r="W676" s="4"/>
      <c r="X676" s="4"/>
      <c r="Z676" s="7"/>
      <c r="AA676" s="4"/>
      <c r="AB676" s="3"/>
      <c r="AC676" s="3"/>
      <c r="AD676" s="3"/>
      <c r="AE676" s="3"/>
      <c r="AF676" s="3"/>
      <c r="AG676" s="3"/>
    </row>
    <row r="677" customFormat="false" ht="15.75" hidden="false" customHeight="false" outlineLevel="0" collapsed="false">
      <c r="A677" s="3"/>
      <c r="B677" s="3"/>
      <c r="C677" s="4"/>
      <c r="D677" s="4"/>
      <c r="E677" s="5"/>
      <c r="F677" s="6"/>
      <c r="N677" s="7"/>
      <c r="W677" s="4"/>
      <c r="X677" s="4"/>
      <c r="Z677" s="7"/>
      <c r="AA677" s="4"/>
      <c r="AB677" s="3"/>
      <c r="AC677" s="3"/>
      <c r="AD677" s="3"/>
      <c r="AE677" s="3"/>
      <c r="AF677" s="3"/>
      <c r="AG677" s="3"/>
    </row>
    <row r="678" customFormat="false" ht="15.75" hidden="false" customHeight="false" outlineLevel="0" collapsed="false">
      <c r="A678" s="3"/>
      <c r="B678" s="3"/>
      <c r="C678" s="4"/>
      <c r="D678" s="4"/>
      <c r="E678" s="5"/>
      <c r="F678" s="6"/>
      <c r="N678" s="7"/>
      <c r="W678" s="4"/>
      <c r="X678" s="4"/>
      <c r="Z678" s="7"/>
      <c r="AA678" s="4"/>
      <c r="AB678" s="3"/>
      <c r="AC678" s="3"/>
      <c r="AD678" s="3"/>
      <c r="AE678" s="3"/>
      <c r="AF678" s="3"/>
      <c r="AG678" s="3"/>
    </row>
    <row r="679" customFormat="false" ht="15.75" hidden="false" customHeight="false" outlineLevel="0" collapsed="false">
      <c r="A679" s="3"/>
      <c r="B679" s="3"/>
      <c r="C679" s="4"/>
      <c r="D679" s="4"/>
      <c r="E679" s="5"/>
      <c r="F679" s="6"/>
      <c r="N679" s="7"/>
      <c r="W679" s="4"/>
      <c r="X679" s="4"/>
      <c r="Z679" s="7"/>
      <c r="AA679" s="4"/>
      <c r="AB679" s="3"/>
      <c r="AC679" s="3"/>
      <c r="AD679" s="3"/>
      <c r="AE679" s="3"/>
      <c r="AF679" s="3"/>
      <c r="AG679" s="3"/>
    </row>
    <row r="680" customFormat="false" ht="15.75" hidden="false" customHeight="false" outlineLevel="0" collapsed="false">
      <c r="A680" s="3"/>
      <c r="B680" s="3"/>
      <c r="C680" s="4"/>
      <c r="D680" s="4"/>
      <c r="E680" s="5"/>
      <c r="F680" s="6"/>
      <c r="N680" s="7"/>
      <c r="W680" s="4"/>
      <c r="X680" s="4"/>
      <c r="Z680" s="7"/>
      <c r="AA680" s="4"/>
      <c r="AB680" s="3"/>
      <c r="AC680" s="3"/>
      <c r="AD680" s="3"/>
      <c r="AE680" s="3"/>
      <c r="AF680" s="3"/>
      <c r="AG680" s="3"/>
    </row>
    <row r="681" customFormat="false" ht="15.75" hidden="false" customHeight="false" outlineLevel="0" collapsed="false">
      <c r="A681" s="3"/>
      <c r="B681" s="3"/>
      <c r="C681" s="4"/>
      <c r="D681" s="4"/>
      <c r="E681" s="5"/>
      <c r="F681" s="6"/>
      <c r="N681" s="7"/>
      <c r="W681" s="4"/>
      <c r="X681" s="4"/>
      <c r="Z681" s="7"/>
      <c r="AA681" s="4"/>
      <c r="AB681" s="3"/>
      <c r="AC681" s="3"/>
      <c r="AD681" s="3"/>
      <c r="AE681" s="3"/>
      <c r="AF681" s="3"/>
      <c r="AG681" s="3"/>
    </row>
    <row r="682" customFormat="false" ht="15.75" hidden="false" customHeight="false" outlineLevel="0" collapsed="false">
      <c r="A682" s="3"/>
      <c r="B682" s="3"/>
      <c r="C682" s="4"/>
      <c r="D682" s="4"/>
      <c r="E682" s="5"/>
      <c r="F682" s="6"/>
      <c r="N682" s="7"/>
      <c r="W682" s="4"/>
      <c r="X682" s="4"/>
      <c r="Z682" s="7"/>
      <c r="AA682" s="4"/>
      <c r="AB682" s="3"/>
      <c r="AC682" s="3"/>
      <c r="AD682" s="3"/>
      <c r="AE682" s="3"/>
      <c r="AF682" s="3"/>
      <c r="AG682" s="3"/>
    </row>
    <row r="683" customFormat="false" ht="15.75" hidden="false" customHeight="false" outlineLevel="0" collapsed="false">
      <c r="A683" s="3"/>
      <c r="B683" s="3"/>
      <c r="C683" s="4"/>
      <c r="D683" s="4"/>
      <c r="E683" s="5"/>
      <c r="F683" s="6"/>
      <c r="N683" s="7"/>
      <c r="W683" s="4"/>
      <c r="X683" s="4"/>
      <c r="Z683" s="7"/>
      <c r="AA683" s="4"/>
      <c r="AB683" s="3"/>
      <c r="AC683" s="3"/>
      <c r="AD683" s="3"/>
      <c r="AE683" s="3"/>
      <c r="AF683" s="3"/>
      <c r="AG683" s="3"/>
    </row>
    <row r="684" customFormat="false" ht="15.75" hidden="false" customHeight="false" outlineLevel="0" collapsed="false">
      <c r="A684" s="3"/>
      <c r="B684" s="3"/>
      <c r="C684" s="4"/>
      <c r="D684" s="4"/>
      <c r="E684" s="5"/>
      <c r="F684" s="6"/>
      <c r="N684" s="7"/>
      <c r="W684" s="4"/>
      <c r="X684" s="4"/>
      <c r="Z684" s="7"/>
      <c r="AA684" s="4"/>
      <c r="AB684" s="3"/>
      <c r="AC684" s="3"/>
      <c r="AD684" s="3"/>
      <c r="AE684" s="3"/>
      <c r="AF684" s="3"/>
      <c r="AG684" s="3"/>
    </row>
    <row r="685" customFormat="false" ht="15.75" hidden="false" customHeight="false" outlineLevel="0" collapsed="false">
      <c r="A685" s="3"/>
      <c r="B685" s="3"/>
      <c r="C685" s="4"/>
      <c r="D685" s="4"/>
      <c r="E685" s="5"/>
      <c r="F685" s="6"/>
      <c r="N685" s="7"/>
      <c r="W685" s="4"/>
      <c r="X685" s="4"/>
      <c r="Z685" s="7"/>
      <c r="AA685" s="4"/>
      <c r="AB685" s="3"/>
      <c r="AC685" s="3"/>
      <c r="AD685" s="3"/>
      <c r="AE685" s="3"/>
      <c r="AF685" s="3"/>
      <c r="AG685" s="3"/>
    </row>
    <row r="686" customFormat="false" ht="15.75" hidden="false" customHeight="false" outlineLevel="0" collapsed="false">
      <c r="A686" s="3"/>
      <c r="B686" s="3"/>
      <c r="C686" s="4"/>
      <c r="D686" s="4"/>
      <c r="E686" s="5"/>
      <c r="F686" s="6"/>
      <c r="N686" s="7"/>
      <c r="W686" s="4"/>
      <c r="X686" s="4"/>
      <c r="Z686" s="7"/>
      <c r="AA686" s="4"/>
      <c r="AB686" s="3"/>
      <c r="AC686" s="3"/>
      <c r="AD686" s="3"/>
      <c r="AE686" s="3"/>
      <c r="AF686" s="3"/>
      <c r="AG686" s="3"/>
    </row>
    <row r="687" customFormat="false" ht="15.75" hidden="false" customHeight="false" outlineLevel="0" collapsed="false">
      <c r="A687" s="3"/>
      <c r="B687" s="3"/>
      <c r="C687" s="4"/>
      <c r="D687" s="4"/>
      <c r="E687" s="5"/>
      <c r="F687" s="6"/>
      <c r="N687" s="7"/>
      <c r="W687" s="4"/>
      <c r="X687" s="4"/>
      <c r="Z687" s="7"/>
      <c r="AA687" s="4"/>
      <c r="AB687" s="3"/>
      <c r="AC687" s="3"/>
      <c r="AD687" s="3"/>
      <c r="AE687" s="3"/>
      <c r="AF687" s="3"/>
      <c r="AG687" s="3"/>
    </row>
    <row r="688" customFormat="false" ht="15.75" hidden="false" customHeight="false" outlineLevel="0" collapsed="false">
      <c r="A688" s="3"/>
      <c r="B688" s="3"/>
      <c r="C688" s="4"/>
      <c r="D688" s="4"/>
      <c r="E688" s="5"/>
      <c r="F688" s="6"/>
      <c r="N688" s="7"/>
      <c r="W688" s="4"/>
      <c r="X688" s="4"/>
      <c r="Z688" s="7"/>
      <c r="AA688" s="4"/>
      <c r="AB688" s="3"/>
      <c r="AC688" s="3"/>
      <c r="AD688" s="3"/>
      <c r="AE688" s="3"/>
      <c r="AF688" s="3"/>
      <c r="AG688" s="3"/>
    </row>
    <row r="689" customFormat="false" ht="15.75" hidden="false" customHeight="false" outlineLevel="0" collapsed="false">
      <c r="A689" s="3"/>
      <c r="B689" s="3"/>
      <c r="C689" s="4"/>
      <c r="D689" s="4"/>
      <c r="E689" s="5"/>
      <c r="F689" s="6"/>
      <c r="N689" s="7"/>
      <c r="W689" s="4"/>
      <c r="X689" s="4"/>
      <c r="Z689" s="7"/>
      <c r="AA689" s="4"/>
      <c r="AB689" s="3"/>
      <c r="AC689" s="3"/>
      <c r="AD689" s="3"/>
      <c r="AE689" s="3"/>
      <c r="AF689" s="3"/>
      <c r="AG689" s="3"/>
    </row>
    <row r="690" customFormat="false" ht="15.75" hidden="false" customHeight="false" outlineLevel="0" collapsed="false">
      <c r="A690" s="3"/>
      <c r="B690" s="3"/>
      <c r="C690" s="4"/>
      <c r="D690" s="4"/>
      <c r="E690" s="5"/>
      <c r="F690" s="6"/>
      <c r="N690" s="7"/>
      <c r="W690" s="4"/>
      <c r="X690" s="4"/>
      <c r="Z690" s="7"/>
      <c r="AA690" s="4"/>
      <c r="AB690" s="3"/>
      <c r="AC690" s="3"/>
      <c r="AD690" s="3"/>
      <c r="AE690" s="3"/>
      <c r="AF690" s="3"/>
      <c r="AG690" s="3"/>
    </row>
    <row r="691" customFormat="false" ht="15.75" hidden="false" customHeight="false" outlineLevel="0" collapsed="false">
      <c r="A691" s="3"/>
      <c r="B691" s="3"/>
      <c r="C691" s="4"/>
      <c r="D691" s="4"/>
      <c r="E691" s="5"/>
      <c r="F691" s="6"/>
      <c r="N691" s="7"/>
      <c r="W691" s="4"/>
      <c r="X691" s="4"/>
      <c r="Z691" s="7"/>
      <c r="AA691" s="4"/>
      <c r="AB691" s="3"/>
      <c r="AC691" s="3"/>
      <c r="AD691" s="3"/>
      <c r="AE691" s="3"/>
      <c r="AF691" s="3"/>
      <c r="AG691" s="3"/>
    </row>
    <row r="692" customFormat="false" ht="15.75" hidden="false" customHeight="false" outlineLevel="0" collapsed="false">
      <c r="A692" s="3"/>
      <c r="B692" s="3"/>
      <c r="C692" s="4"/>
      <c r="D692" s="4"/>
      <c r="E692" s="5"/>
      <c r="F692" s="6"/>
      <c r="N692" s="7"/>
      <c r="W692" s="4"/>
      <c r="X692" s="4"/>
      <c r="Z692" s="7"/>
      <c r="AA692" s="4"/>
      <c r="AB692" s="3"/>
      <c r="AC692" s="3"/>
      <c r="AD692" s="3"/>
      <c r="AE692" s="3"/>
      <c r="AF692" s="3"/>
      <c r="AG692" s="3"/>
    </row>
    <row r="693" customFormat="false" ht="15.75" hidden="false" customHeight="false" outlineLevel="0" collapsed="false">
      <c r="A693" s="3"/>
      <c r="B693" s="3"/>
      <c r="C693" s="4"/>
      <c r="D693" s="4"/>
      <c r="E693" s="5"/>
      <c r="F693" s="6"/>
      <c r="N693" s="7"/>
      <c r="W693" s="4"/>
      <c r="X693" s="4"/>
      <c r="Z693" s="7"/>
      <c r="AA693" s="4"/>
      <c r="AB693" s="3"/>
      <c r="AC693" s="3"/>
      <c r="AD693" s="3"/>
      <c r="AE693" s="3"/>
      <c r="AF693" s="3"/>
      <c r="AG693" s="3"/>
    </row>
    <row r="694" customFormat="false" ht="15.75" hidden="false" customHeight="false" outlineLevel="0" collapsed="false">
      <c r="A694" s="3"/>
      <c r="B694" s="3"/>
      <c r="C694" s="4"/>
      <c r="D694" s="4"/>
      <c r="E694" s="5"/>
      <c r="F694" s="6"/>
      <c r="N694" s="7"/>
      <c r="W694" s="4"/>
      <c r="X694" s="4"/>
      <c r="Z694" s="7"/>
      <c r="AA694" s="4"/>
      <c r="AB694" s="3"/>
      <c r="AC694" s="3"/>
      <c r="AD694" s="3"/>
      <c r="AE694" s="3"/>
      <c r="AF694" s="3"/>
      <c r="AG694" s="3"/>
    </row>
    <row r="695" customFormat="false" ht="15.75" hidden="false" customHeight="false" outlineLevel="0" collapsed="false">
      <c r="A695" s="3"/>
      <c r="B695" s="3"/>
      <c r="C695" s="4"/>
      <c r="D695" s="4"/>
      <c r="E695" s="5"/>
      <c r="F695" s="6"/>
      <c r="N695" s="7"/>
      <c r="W695" s="4"/>
      <c r="X695" s="4"/>
      <c r="Z695" s="7"/>
      <c r="AA695" s="4"/>
      <c r="AB695" s="3"/>
      <c r="AC695" s="3"/>
      <c r="AD695" s="3"/>
      <c r="AE695" s="3"/>
      <c r="AF695" s="3"/>
      <c r="AG695" s="3"/>
    </row>
    <row r="696" customFormat="false" ht="15.75" hidden="false" customHeight="false" outlineLevel="0" collapsed="false">
      <c r="A696" s="3"/>
      <c r="B696" s="3"/>
      <c r="C696" s="4"/>
      <c r="D696" s="4"/>
      <c r="E696" s="5"/>
      <c r="F696" s="6"/>
      <c r="N696" s="7"/>
      <c r="W696" s="4"/>
      <c r="X696" s="4"/>
      <c r="Z696" s="7"/>
      <c r="AA696" s="4"/>
      <c r="AB696" s="3"/>
      <c r="AC696" s="3"/>
      <c r="AD696" s="3"/>
      <c r="AE696" s="3"/>
      <c r="AF696" s="3"/>
      <c r="AG696" s="3"/>
    </row>
    <row r="697" customFormat="false" ht="15.75" hidden="false" customHeight="false" outlineLevel="0" collapsed="false">
      <c r="A697" s="3"/>
      <c r="B697" s="3"/>
      <c r="C697" s="4"/>
      <c r="D697" s="4"/>
      <c r="E697" s="5"/>
      <c r="F697" s="6"/>
      <c r="N697" s="7"/>
      <c r="W697" s="4"/>
      <c r="X697" s="4"/>
      <c r="Z697" s="7"/>
      <c r="AA697" s="4"/>
      <c r="AB697" s="3"/>
      <c r="AC697" s="3"/>
      <c r="AD697" s="3"/>
      <c r="AE697" s="3"/>
      <c r="AF697" s="3"/>
      <c r="AG697" s="3"/>
    </row>
    <row r="698" customFormat="false" ht="15.75" hidden="false" customHeight="false" outlineLevel="0" collapsed="false">
      <c r="A698" s="3"/>
      <c r="B698" s="3"/>
      <c r="C698" s="4"/>
      <c r="D698" s="4"/>
      <c r="E698" s="5"/>
      <c r="F698" s="6"/>
      <c r="N698" s="7"/>
      <c r="W698" s="4"/>
      <c r="X698" s="4"/>
      <c r="Z698" s="7"/>
      <c r="AA698" s="4"/>
      <c r="AB698" s="3"/>
      <c r="AC698" s="3"/>
      <c r="AD698" s="3"/>
      <c r="AE698" s="3"/>
      <c r="AF698" s="3"/>
      <c r="AG698" s="3"/>
    </row>
    <row r="699" customFormat="false" ht="15.75" hidden="false" customHeight="false" outlineLevel="0" collapsed="false">
      <c r="A699" s="3"/>
      <c r="B699" s="3"/>
      <c r="C699" s="4"/>
      <c r="D699" s="4"/>
      <c r="E699" s="5"/>
      <c r="F699" s="6"/>
      <c r="N699" s="7"/>
      <c r="W699" s="4"/>
      <c r="X699" s="4"/>
      <c r="Z699" s="7"/>
      <c r="AA699" s="4"/>
      <c r="AB699" s="3"/>
      <c r="AC699" s="3"/>
      <c r="AD699" s="3"/>
      <c r="AE699" s="3"/>
      <c r="AF699" s="3"/>
      <c r="AG699" s="3"/>
    </row>
    <row r="700" customFormat="false" ht="15.75" hidden="false" customHeight="false" outlineLevel="0" collapsed="false">
      <c r="A700" s="3"/>
      <c r="B700" s="3"/>
      <c r="C700" s="4"/>
      <c r="D700" s="4"/>
      <c r="E700" s="5"/>
      <c r="F700" s="6"/>
      <c r="N700" s="7"/>
      <c r="W700" s="4"/>
      <c r="X700" s="4"/>
      <c r="Z700" s="7"/>
      <c r="AA700" s="4"/>
      <c r="AB700" s="3"/>
      <c r="AC700" s="3"/>
      <c r="AD700" s="3"/>
      <c r="AE700" s="3"/>
      <c r="AF700" s="3"/>
      <c r="AG700" s="3"/>
    </row>
    <row r="701" customFormat="false" ht="15.75" hidden="false" customHeight="false" outlineLevel="0" collapsed="false">
      <c r="A701" s="3"/>
      <c r="B701" s="3"/>
      <c r="C701" s="4"/>
      <c r="D701" s="4"/>
      <c r="E701" s="5"/>
      <c r="F701" s="6"/>
      <c r="N701" s="7"/>
      <c r="W701" s="4"/>
      <c r="X701" s="4"/>
      <c r="Z701" s="7"/>
      <c r="AA701" s="4"/>
      <c r="AB701" s="3"/>
      <c r="AC701" s="3"/>
      <c r="AD701" s="3"/>
      <c r="AE701" s="3"/>
      <c r="AF701" s="3"/>
      <c r="AG701" s="3"/>
    </row>
    <row r="702" customFormat="false" ht="15.75" hidden="false" customHeight="false" outlineLevel="0" collapsed="false">
      <c r="A702" s="3"/>
      <c r="B702" s="3"/>
      <c r="C702" s="4"/>
      <c r="D702" s="4"/>
      <c r="E702" s="5"/>
      <c r="F702" s="6"/>
      <c r="N702" s="7"/>
      <c r="W702" s="4"/>
      <c r="X702" s="4"/>
      <c r="Z702" s="7"/>
      <c r="AA702" s="4"/>
      <c r="AB702" s="3"/>
      <c r="AC702" s="3"/>
      <c r="AD702" s="3"/>
      <c r="AE702" s="3"/>
      <c r="AF702" s="3"/>
      <c r="AG702" s="3"/>
    </row>
    <row r="703" customFormat="false" ht="15.75" hidden="false" customHeight="false" outlineLevel="0" collapsed="false">
      <c r="A703" s="3"/>
      <c r="B703" s="3"/>
      <c r="C703" s="4"/>
      <c r="D703" s="4"/>
      <c r="E703" s="5"/>
      <c r="F703" s="6"/>
      <c r="N703" s="7"/>
      <c r="W703" s="4"/>
      <c r="X703" s="4"/>
      <c r="Z703" s="7"/>
      <c r="AA703" s="4"/>
      <c r="AB703" s="3"/>
      <c r="AC703" s="3"/>
      <c r="AD703" s="3"/>
      <c r="AE703" s="3"/>
      <c r="AF703" s="3"/>
      <c r="AG703" s="3"/>
    </row>
    <row r="704" customFormat="false" ht="15.75" hidden="false" customHeight="false" outlineLevel="0" collapsed="false">
      <c r="A704" s="3"/>
      <c r="B704" s="3"/>
      <c r="C704" s="4"/>
      <c r="D704" s="4"/>
      <c r="E704" s="5"/>
      <c r="F704" s="6"/>
      <c r="N704" s="7"/>
      <c r="W704" s="4"/>
      <c r="X704" s="4"/>
      <c r="Z704" s="7"/>
      <c r="AA704" s="4"/>
      <c r="AB704" s="3"/>
      <c r="AC704" s="3"/>
      <c r="AD704" s="3"/>
      <c r="AE704" s="3"/>
      <c r="AF704" s="3"/>
      <c r="AG704" s="3"/>
    </row>
    <row r="705" customFormat="false" ht="15.75" hidden="false" customHeight="false" outlineLevel="0" collapsed="false">
      <c r="A705" s="3"/>
      <c r="B705" s="3"/>
      <c r="C705" s="4"/>
      <c r="D705" s="4"/>
      <c r="E705" s="5"/>
      <c r="F705" s="6"/>
      <c r="N705" s="7"/>
      <c r="W705" s="4"/>
      <c r="X705" s="4"/>
      <c r="Z705" s="7"/>
      <c r="AA705" s="4"/>
      <c r="AB705" s="3"/>
      <c r="AC705" s="3"/>
      <c r="AD705" s="3"/>
      <c r="AE705" s="3"/>
      <c r="AF705" s="3"/>
      <c r="AG705" s="3"/>
    </row>
    <row r="706" customFormat="false" ht="15.75" hidden="false" customHeight="false" outlineLevel="0" collapsed="false">
      <c r="A706" s="3"/>
      <c r="B706" s="3"/>
      <c r="C706" s="4"/>
      <c r="D706" s="4"/>
      <c r="E706" s="5"/>
      <c r="F706" s="6"/>
      <c r="N706" s="7"/>
      <c r="W706" s="4"/>
      <c r="X706" s="4"/>
      <c r="Z706" s="7"/>
      <c r="AA706" s="4"/>
      <c r="AB706" s="3"/>
      <c r="AC706" s="3"/>
      <c r="AD706" s="3"/>
      <c r="AE706" s="3"/>
      <c r="AF706" s="3"/>
      <c r="AG706" s="3"/>
    </row>
    <row r="707" customFormat="false" ht="15.75" hidden="false" customHeight="false" outlineLevel="0" collapsed="false">
      <c r="A707" s="3"/>
      <c r="B707" s="3"/>
      <c r="C707" s="4"/>
      <c r="D707" s="4"/>
      <c r="E707" s="5"/>
      <c r="F707" s="6"/>
      <c r="N707" s="7"/>
      <c r="W707" s="4"/>
      <c r="X707" s="4"/>
      <c r="Z707" s="7"/>
      <c r="AA707" s="4"/>
      <c r="AB707" s="3"/>
      <c r="AC707" s="3"/>
      <c r="AD707" s="3"/>
      <c r="AE707" s="3"/>
      <c r="AF707" s="3"/>
      <c r="AG707" s="3"/>
    </row>
    <row r="708" customFormat="false" ht="15.75" hidden="false" customHeight="false" outlineLevel="0" collapsed="false">
      <c r="A708" s="3"/>
      <c r="B708" s="3"/>
      <c r="C708" s="4"/>
      <c r="D708" s="4"/>
      <c r="E708" s="5"/>
      <c r="F708" s="6"/>
      <c r="N708" s="7"/>
      <c r="W708" s="4"/>
      <c r="X708" s="4"/>
      <c r="Z708" s="7"/>
      <c r="AA708" s="4"/>
      <c r="AB708" s="3"/>
      <c r="AC708" s="3"/>
      <c r="AD708" s="3"/>
      <c r="AE708" s="3"/>
      <c r="AF708" s="3"/>
      <c r="AG708" s="3"/>
    </row>
    <row r="709" customFormat="false" ht="15.75" hidden="false" customHeight="false" outlineLevel="0" collapsed="false">
      <c r="A709" s="3"/>
      <c r="B709" s="3"/>
      <c r="C709" s="4"/>
      <c r="D709" s="4"/>
      <c r="E709" s="5"/>
      <c r="F709" s="6"/>
      <c r="N709" s="7"/>
      <c r="W709" s="4"/>
      <c r="X709" s="4"/>
      <c r="Z709" s="7"/>
      <c r="AA709" s="4"/>
      <c r="AB709" s="3"/>
      <c r="AC709" s="3"/>
      <c r="AD709" s="3"/>
      <c r="AE709" s="3"/>
      <c r="AF709" s="3"/>
      <c r="AG709" s="3"/>
    </row>
    <row r="710" customFormat="false" ht="15.75" hidden="false" customHeight="false" outlineLevel="0" collapsed="false">
      <c r="A710" s="3"/>
      <c r="B710" s="3"/>
      <c r="C710" s="4"/>
      <c r="D710" s="4"/>
      <c r="E710" s="5"/>
      <c r="F710" s="6"/>
      <c r="N710" s="7"/>
      <c r="W710" s="4"/>
      <c r="X710" s="4"/>
      <c r="Z710" s="7"/>
      <c r="AA710" s="4"/>
      <c r="AB710" s="3"/>
      <c r="AC710" s="3"/>
      <c r="AD710" s="3"/>
      <c r="AE710" s="3"/>
      <c r="AF710" s="3"/>
      <c r="AG710" s="3"/>
    </row>
    <row r="711" customFormat="false" ht="15.75" hidden="false" customHeight="false" outlineLevel="0" collapsed="false">
      <c r="A711" s="3"/>
      <c r="B711" s="3"/>
      <c r="C711" s="4"/>
      <c r="D711" s="4"/>
      <c r="E711" s="5"/>
      <c r="F711" s="6"/>
      <c r="N711" s="7"/>
      <c r="W711" s="4"/>
      <c r="X711" s="4"/>
      <c r="Z711" s="7"/>
      <c r="AA711" s="4"/>
      <c r="AB711" s="3"/>
      <c r="AC711" s="3"/>
      <c r="AD711" s="3"/>
      <c r="AE711" s="3"/>
      <c r="AF711" s="3"/>
      <c r="AG711" s="3"/>
    </row>
    <row r="712" customFormat="false" ht="15.75" hidden="false" customHeight="false" outlineLevel="0" collapsed="false">
      <c r="A712" s="3"/>
      <c r="B712" s="3"/>
      <c r="C712" s="4"/>
      <c r="D712" s="4"/>
      <c r="E712" s="5"/>
      <c r="F712" s="6"/>
      <c r="N712" s="7"/>
      <c r="W712" s="4"/>
      <c r="X712" s="4"/>
      <c r="Z712" s="7"/>
      <c r="AA712" s="4"/>
      <c r="AB712" s="3"/>
      <c r="AC712" s="3"/>
      <c r="AD712" s="3"/>
      <c r="AE712" s="3"/>
      <c r="AF712" s="3"/>
      <c r="AG712" s="3"/>
    </row>
    <row r="713" customFormat="false" ht="15.75" hidden="false" customHeight="false" outlineLevel="0" collapsed="false">
      <c r="A713" s="3"/>
      <c r="B713" s="3"/>
      <c r="C713" s="4"/>
      <c r="D713" s="4"/>
      <c r="E713" s="5"/>
      <c r="F713" s="6"/>
      <c r="N713" s="7"/>
      <c r="W713" s="4"/>
      <c r="X713" s="4"/>
      <c r="Z713" s="7"/>
      <c r="AA713" s="4"/>
      <c r="AB713" s="3"/>
      <c r="AC713" s="3"/>
      <c r="AD713" s="3"/>
      <c r="AE713" s="3"/>
      <c r="AF713" s="3"/>
      <c r="AG713" s="3"/>
    </row>
    <row r="714" customFormat="false" ht="15.75" hidden="false" customHeight="false" outlineLevel="0" collapsed="false">
      <c r="A714" s="3"/>
      <c r="B714" s="3"/>
      <c r="C714" s="4"/>
      <c r="D714" s="4"/>
      <c r="E714" s="5"/>
      <c r="F714" s="6"/>
      <c r="N714" s="7"/>
      <c r="W714" s="4"/>
      <c r="X714" s="4"/>
      <c r="Z714" s="7"/>
      <c r="AA714" s="4"/>
      <c r="AB714" s="3"/>
      <c r="AC714" s="3"/>
      <c r="AD714" s="3"/>
      <c r="AE714" s="3"/>
      <c r="AF714" s="3"/>
      <c r="AG714" s="3"/>
    </row>
    <row r="715" customFormat="false" ht="15.75" hidden="false" customHeight="false" outlineLevel="0" collapsed="false">
      <c r="A715" s="3"/>
      <c r="B715" s="3"/>
      <c r="C715" s="4"/>
      <c r="D715" s="4"/>
      <c r="E715" s="5"/>
      <c r="F715" s="6"/>
      <c r="N715" s="7"/>
      <c r="W715" s="4"/>
      <c r="X715" s="4"/>
      <c r="Z715" s="7"/>
      <c r="AA715" s="4"/>
      <c r="AB715" s="3"/>
      <c r="AC715" s="3"/>
      <c r="AD715" s="3"/>
      <c r="AE715" s="3"/>
      <c r="AF715" s="3"/>
      <c r="AG715" s="3"/>
    </row>
    <row r="716" customFormat="false" ht="15.75" hidden="false" customHeight="false" outlineLevel="0" collapsed="false">
      <c r="A716" s="3"/>
      <c r="B716" s="3"/>
      <c r="C716" s="4"/>
      <c r="D716" s="4"/>
      <c r="E716" s="5"/>
      <c r="F716" s="6"/>
      <c r="N716" s="7"/>
      <c r="W716" s="4"/>
      <c r="X716" s="4"/>
      <c r="Z716" s="7"/>
      <c r="AA716" s="4"/>
      <c r="AB716" s="3"/>
      <c r="AC716" s="3"/>
      <c r="AD716" s="3"/>
      <c r="AE716" s="3"/>
      <c r="AF716" s="3"/>
      <c r="AG716" s="3"/>
    </row>
    <row r="717" customFormat="false" ht="15.75" hidden="false" customHeight="false" outlineLevel="0" collapsed="false">
      <c r="A717" s="3"/>
      <c r="B717" s="3"/>
      <c r="C717" s="4"/>
      <c r="D717" s="4"/>
      <c r="E717" s="5"/>
      <c r="F717" s="6"/>
      <c r="N717" s="7"/>
      <c r="W717" s="4"/>
      <c r="X717" s="4"/>
      <c r="Z717" s="7"/>
      <c r="AA717" s="4"/>
      <c r="AB717" s="3"/>
      <c r="AC717" s="3"/>
      <c r="AD717" s="3"/>
      <c r="AE717" s="3"/>
      <c r="AF717" s="3"/>
      <c r="AG717" s="3"/>
    </row>
    <row r="718" customFormat="false" ht="15.75" hidden="false" customHeight="false" outlineLevel="0" collapsed="false">
      <c r="A718" s="3"/>
      <c r="B718" s="3"/>
      <c r="C718" s="4"/>
      <c r="D718" s="4"/>
      <c r="E718" s="5"/>
      <c r="F718" s="6"/>
      <c r="N718" s="7"/>
      <c r="W718" s="4"/>
      <c r="X718" s="4"/>
      <c r="Z718" s="7"/>
      <c r="AA718" s="4"/>
      <c r="AB718" s="3"/>
      <c r="AC718" s="3"/>
      <c r="AD718" s="3"/>
      <c r="AE718" s="3"/>
      <c r="AF718" s="3"/>
      <c r="AG718" s="3"/>
    </row>
    <row r="719" customFormat="false" ht="15.75" hidden="false" customHeight="false" outlineLevel="0" collapsed="false">
      <c r="A719" s="3"/>
      <c r="B719" s="3"/>
      <c r="C719" s="4"/>
      <c r="D719" s="4"/>
      <c r="E719" s="5"/>
      <c r="F719" s="6"/>
      <c r="N719" s="7"/>
      <c r="W719" s="4"/>
      <c r="X719" s="4"/>
      <c r="Z719" s="7"/>
      <c r="AA719" s="4"/>
      <c r="AB719" s="3"/>
      <c r="AC719" s="3"/>
      <c r="AD719" s="3"/>
      <c r="AE719" s="3"/>
      <c r="AF719" s="3"/>
      <c r="AG719" s="3"/>
    </row>
    <row r="720" customFormat="false" ht="15.75" hidden="false" customHeight="false" outlineLevel="0" collapsed="false">
      <c r="A720" s="3"/>
      <c r="B720" s="3"/>
      <c r="C720" s="4"/>
      <c r="D720" s="4"/>
      <c r="E720" s="5"/>
      <c r="F720" s="6"/>
      <c r="N720" s="7"/>
      <c r="W720" s="4"/>
      <c r="X720" s="4"/>
      <c r="Z720" s="7"/>
      <c r="AA720" s="4"/>
      <c r="AB720" s="3"/>
      <c r="AC720" s="3"/>
      <c r="AD720" s="3"/>
      <c r="AE720" s="3"/>
      <c r="AF720" s="3"/>
      <c r="AG720" s="3"/>
    </row>
    <row r="721" customFormat="false" ht="15.75" hidden="false" customHeight="false" outlineLevel="0" collapsed="false">
      <c r="A721" s="3"/>
      <c r="B721" s="3"/>
      <c r="C721" s="4"/>
      <c r="D721" s="4"/>
      <c r="E721" s="5"/>
      <c r="F721" s="6"/>
      <c r="N721" s="7"/>
      <c r="W721" s="4"/>
      <c r="X721" s="4"/>
      <c r="Z721" s="7"/>
      <c r="AA721" s="4"/>
      <c r="AB721" s="3"/>
      <c r="AC721" s="3"/>
      <c r="AD721" s="3"/>
      <c r="AE721" s="3"/>
      <c r="AF721" s="3"/>
      <c r="AG721" s="3"/>
    </row>
    <row r="722" customFormat="false" ht="15.75" hidden="false" customHeight="false" outlineLevel="0" collapsed="false">
      <c r="A722" s="3"/>
      <c r="B722" s="3"/>
      <c r="C722" s="4"/>
      <c r="D722" s="4"/>
      <c r="E722" s="5"/>
      <c r="F722" s="6"/>
      <c r="N722" s="7"/>
      <c r="W722" s="4"/>
      <c r="X722" s="4"/>
      <c r="Z722" s="7"/>
      <c r="AA722" s="4"/>
      <c r="AB722" s="3"/>
      <c r="AC722" s="3"/>
      <c r="AD722" s="3"/>
      <c r="AE722" s="3"/>
      <c r="AF722" s="3"/>
      <c r="AG722" s="3"/>
    </row>
    <row r="723" customFormat="false" ht="15.75" hidden="false" customHeight="false" outlineLevel="0" collapsed="false">
      <c r="A723" s="3"/>
      <c r="B723" s="3"/>
      <c r="C723" s="4"/>
      <c r="D723" s="4"/>
      <c r="E723" s="5"/>
      <c r="F723" s="6"/>
      <c r="N723" s="7"/>
      <c r="W723" s="4"/>
      <c r="X723" s="4"/>
      <c r="Z723" s="7"/>
      <c r="AA723" s="4"/>
      <c r="AB723" s="3"/>
      <c r="AC723" s="3"/>
      <c r="AD723" s="3"/>
      <c r="AE723" s="3"/>
      <c r="AF723" s="3"/>
      <c r="AG723" s="3"/>
    </row>
    <row r="724" customFormat="false" ht="15.75" hidden="false" customHeight="false" outlineLevel="0" collapsed="false">
      <c r="A724" s="3"/>
      <c r="B724" s="3"/>
      <c r="C724" s="4"/>
      <c r="D724" s="4"/>
      <c r="E724" s="5"/>
      <c r="F724" s="6"/>
      <c r="N724" s="7"/>
      <c r="W724" s="4"/>
      <c r="X724" s="4"/>
      <c r="Z724" s="7"/>
      <c r="AA724" s="4"/>
      <c r="AB724" s="3"/>
      <c r="AC724" s="3"/>
      <c r="AD724" s="3"/>
      <c r="AE724" s="3"/>
      <c r="AF724" s="3"/>
      <c r="AG724" s="3"/>
    </row>
    <row r="725" customFormat="false" ht="15.75" hidden="false" customHeight="false" outlineLevel="0" collapsed="false">
      <c r="A725" s="3"/>
      <c r="B725" s="3"/>
      <c r="C725" s="4"/>
      <c r="D725" s="4"/>
      <c r="E725" s="5"/>
      <c r="F725" s="6"/>
      <c r="N725" s="7"/>
      <c r="W725" s="4"/>
      <c r="X725" s="4"/>
      <c r="Z725" s="7"/>
      <c r="AA725" s="4"/>
      <c r="AB725" s="3"/>
      <c r="AC725" s="3"/>
      <c r="AD725" s="3"/>
      <c r="AE725" s="3"/>
      <c r="AF725" s="3"/>
      <c r="AG725" s="3"/>
    </row>
    <row r="726" customFormat="false" ht="15.75" hidden="false" customHeight="false" outlineLevel="0" collapsed="false">
      <c r="A726" s="3"/>
      <c r="B726" s="3"/>
      <c r="C726" s="4"/>
      <c r="D726" s="4"/>
      <c r="E726" s="5"/>
      <c r="F726" s="6"/>
      <c r="N726" s="7"/>
      <c r="W726" s="4"/>
      <c r="X726" s="4"/>
      <c r="Z726" s="7"/>
      <c r="AA726" s="4"/>
      <c r="AB726" s="3"/>
      <c r="AC726" s="3"/>
      <c r="AD726" s="3"/>
      <c r="AE726" s="3"/>
      <c r="AF726" s="3"/>
      <c r="AG726" s="3"/>
    </row>
    <row r="727" customFormat="false" ht="15.75" hidden="false" customHeight="false" outlineLevel="0" collapsed="false">
      <c r="A727" s="3"/>
      <c r="B727" s="3"/>
      <c r="C727" s="4"/>
      <c r="D727" s="4"/>
      <c r="E727" s="5"/>
      <c r="F727" s="6"/>
      <c r="N727" s="7"/>
      <c r="W727" s="4"/>
      <c r="X727" s="4"/>
      <c r="Z727" s="7"/>
      <c r="AA727" s="4"/>
      <c r="AB727" s="3"/>
      <c r="AC727" s="3"/>
      <c r="AD727" s="3"/>
      <c r="AE727" s="3"/>
      <c r="AF727" s="3"/>
      <c r="AG727" s="3"/>
    </row>
    <row r="728" customFormat="false" ht="15.75" hidden="false" customHeight="false" outlineLevel="0" collapsed="false">
      <c r="A728" s="3"/>
      <c r="B728" s="3"/>
      <c r="C728" s="4"/>
      <c r="D728" s="4"/>
      <c r="E728" s="5"/>
      <c r="F728" s="6"/>
      <c r="N728" s="7"/>
      <c r="W728" s="4"/>
      <c r="X728" s="4"/>
      <c r="Z728" s="7"/>
      <c r="AA728" s="4"/>
      <c r="AB728" s="3"/>
      <c r="AC728" s="3"/>
      <c r="AD728" s="3"/>
      <c r="AE728" s="3"/>
      <c r="AF728" s="3"/>
      <c r="AG728" s="3"/>
    </row>
    <row r="729" customFormat="false" ht="15.75" hidden="false" customHeight="false" outlineLevel="0" collapsed="false">
      <c r="A729" s="3"/>
      <c r="B729" s="3"/>
      <c r="C729" s="4"/>
      <c r="D729" s="4"/>
      <c r="E729" s="5"/>
      <c r="F729" s="6"/>
      <c r="N729" s="7"/>
      <c r="W729" s="4"/>
      <c r="X729" s="4"/>
      <c r="Z729" s="7"/>
      <c r="AA729" s="4"/>
      <c r="AB729" s="3"/>
      <c r="AC729" s="3"/>
      <c r="AD729" s="3"/>
      <c r="AE729" s="3"/>
      <c r="AF729" s="3"/>
      <c r="AG729" s="3"/>
    </row>
    <row r="730" customFormat="false" ht="15.75" hidden="false" customHeight="false" outlineLevel="0" collapsed="false">
      <c r="A730" s="3"/>
      <c r="B730" s="3"/>
      <c r="C730" s="4"/>
      <c r="D730" s="4"/>
      <c r="E730" s="5"/>
      <c r="F730" s="6"/>
      <c r="N730" s="7"/>
      <c r="W730" s="4"/>
      <c r="X730" s="4"/>
      <c r="Z730" s="7"/>
      <c r="AA730" s="4"/>
      <c r="AB730" s="3"/>
      <c r="AC730" s="3"/>
      <c r="AD730" s="3"/>
      <c r="AE730" s="3"/>
      <c r="AF730" s="3"/>
      <c r="AG730" s="3"/>
    </row>
    <row r="731" customFormat="false" ht="15.75" hidden="false" customHeight="false" outlineLevel="0" collapsed="false">
      <c r="A731" s="3"/>
      <c r="B731" s="3"/>
      <c r="C731" s="4"/>
      <c r="D731" s="4"/>
      <c r="E731" s="5"/>
      <c r="F731" s="6"/>
      <c r="N731" s="7"/>
      <c r="W731" s="4"/>
      <c r="X731" s="4"/>
      <c r="Z731" s="7"/>
      <c r="AA731" s="4"/>
      <c r="AB731" s="3"/>
      <c r="AC731" s="3"/>
      <c r="AD731" s="3"/>
      <c r="AE731" s="3"/>
      <c r="AF731" s="3"/>
      <c r="AG731" s="3"/>
    </row>
    <row r="732" customFormat="false" ht="15.75" hidden="false" customHeight="false" outlineLevel="0" collapsed="false">
      <c r="A732" s="3"/>
      <c r="B732" s="3"/>
      <c r="C732" s="4"/>
      <c r="D732" s="4"/>
      <c r="E732" s="5"/>
      <c r="F732" s="6"/>
      <c r="N732" s="7"/>
      <c r="W732" s="4"/>
      <c r="X732" s="4"/>
      <c r="Z732" s="7"/>
      <c r="AA732" s="4"/>
      <c r="AB732" s="3"/>
      <c r="AC732" s="3"/>
      <c r="AD732" s="3"/>
      <c r="AE732" s="3"/>
      <c r="AF732" s="3"/>
      <c r="AG732" s="3"/>
    </row>
    <row r="733" customFormat="false" ht="15.75" hidden="false" customHeight="false" outlineLevel="0" collapsed="false">
      <c r="A733" s="3"/>
      <c r="B733" s="3"/>
      <c r="C733" s="4"/>
      <c r="D733" s="4"/>
      <c r="E733" s="5"/>
      <c r="F733" s="6"/>
      <c r="N733" s="7"/>
      <c r="W733" s="4"/>
      <c r="X733" s="4"/>
      <c r="Z733" s="7"/>
      <c r="AA733" s="4"/>
      <c r="AB733" s="3"/>
      <c r="AC733" s="3"/>
      <c r="AD733" s="3"/>
      <c r="AE733" s="3"/>
      <c r="AF733" s="3"/>
      <c r="AG733" s="3"/>
    </row>
    <row r="734" customFormat="false" ht="15.75" hidden="false" customHeight="false" outlineLevel="0" collapsed="false">
      <c r="A734" s="3"/>
      <c r="B734" s="3"/>
      <c r="C734" s="4"/>
      <c r="D734" s="4"/>
      <c r="E734" s="5"/>
      <c r="F734" s="6"/>
      <c r="N734" s="7"/>
      <c r="W734" s="4"/>
      <c r="X734" s="4"/>
      <c r="Z734" s="7"/>
      <c r="AA734" s="4"/>
      <c r="AB734" s="3"/>
      <c r="AC734" s="3"/>
      <c r="AD734" s="3"/>
      <c r="AE734" s="3"/>
      <c r="AF734" s="3"/>
      <c r="AG734" s="3"/>
    </row>
    <row r="735" customFormat="false" ht="15.75" hidden="false" customHeight="false" outlineLevel="0" collapsed="false">
      <c r="A735" s="3"/>
      <c r="B735" s="3"/>
      <c r="C735" s="4"/>
      <c r="D735" s="4"/>
      <c r="E735" s="5"/>
      <c r="F735" s="6"/>
      <c r="N735" s="7"/>
      <c r="W735" s="4"/>
      <c r="X735" s="4"/>
      <c r="Z735" s="7"/>
      <c r="AA735" s="4"/>
      <c r="AB735" s="3"/>
      <c r="AC735" s="3"/>
      <c r="AD735" s="3"/>
      <c r="AE735" s="3"/>
      <c r="AF735" s="3"/>
      <c r="AG735" s="3"/>
    </row>
    <row r="736" customFormat="false" ht="15.75" hidden="false" customHeight="false" outlineLevel="0" collapsed="false">
      <c r="A736" s="3"/>
      <c r="B736" s="3"/>
      <c r="C736" s="4"/>
      <c r="D736" s="4"/>
      <c r="E736" s="5"/>
      <c r="F736" s="6"/>
      <c r="N736" s="7"/>
      <c r="W736" s="4"/>
      <c r="X736" s="4"/>
      <c r="Z736" s="7"/>
      <c r="AA736" s="4"/>
      <c r="AB736" s="3"/>
      <c r="AC736" s="3"/>
      <c r="AD736" s="3"/>
      <c r="AE736" s="3"/>
      <c r="AF736" s="3"/>
      <c r="AG736" s="3"/>
    </row>
    <row r="737" customFormat="false" ht="15.75" hidden="false" customHeight="false" outlineLevel="0" collapsed="false">
      <c r="A737" s="3"/>
      <c r="B737" s="3"/>
      <c r="C737" s="4"/>
      <c r="D737" s="4"/>
      <c r="E737" s="5"/>
      <c r="F737" s="6"/>
      <c r="N737" s="7"/>
      <c r="W737" s="4"/>
      <c r="X737" s="4"/>
      <c r="Z737" s="7"/>
      <c r="AA737" s="4"/>
      <c r="AB737" s="3"/>
      <c r="AC737" s="3"/>
      <c r="AD737" s="3"/>
      <c r="AE737" s="3"/>
      <c r="AF737" s="3"/>
      <c r="AG737" s="3"/>
    </row>
    <row r="738" customFormat="false" ht="15.75" hidden="false" customHeight="false" outlineLevel="0" collapsed="false">
      <c r="A738" s="3"/>
      <c r="B738" s="3"/>
      <c r="C738" s="4"/>
      <c r="D738" s="4"/>
      <c r="E738" s="5"/>
      <c r="F738" s="6"/>
      <c r="N738" s="7"/>
      <c r="W738" s="4"/>
      <c r="X738" s="4"/>
      <c r="Z738" s="7"/>
      <c r="AA738" s="4"/>
      <c r="AB738" s="3"/>
      <c r="AC738" s="3"/>
      <c r="AD738" s="3"/>
      <c r="AE738" s="3"/>
      <c r="AF738" s="3"/>
      <c r="AG738" s="3"/>
    </row>
    <row r="739" customFormat="false" ht="15.75" hidden="false" customHeight="false" outlineLevel="0" collapsed="false">
      <c r="A739" s="3"/>
      <c r="B739" s="3"/>
      <c r="C739" s="4"/>
      <c r="D739" s="4"/>
      <c r="E739" s="5"/>
      <c r="F739" s="6"/>
      <c r="N739" s="7"/>
      <c r="W739" s="4"/>
      <c r="X739" s="4"/>
      <c r="Z739" s="7"/>
      <c r="AA739" s="4"/>
      <c r="AB739" s="3"/>
      <c r="AC739" s="3"/>
      <c r="AD739" s="3"/>
      <c r="AE739" s="3"/>
      <c r="AF739" s="3"/>
      <c r="AG739" s="3"/>
    </row>
    <row r="740" customFormat="false" ht="15.75" hidden="false" customHeight="false" outlineLevel="0" collapsed="false">
      <c r="A740" s="3"/>
      <c r="B740" s="3"/>
      <c r="C740" s="4"/>
      <c r="D740" s="4"/>
      <c r="E740" s="5"/>
      <c r="F740" s="6"/>
      <c r="N740" s="7"/>
      <c r="W740" s="4"/>
      <c r="X740" s="4"/>
      <c r="Z740" s="7"/>
      <c r="AA740" s="4"/>
      <c r="AB740" s="3"/>
      <c r="AC740" s="3"/>
      <c r="AD740" s="3"/>
      <c r="AE740" s="3"/>
      <c r="AF740" s="3"/>
      <c r="AG740" s="3"/>
    </row>
    <row r="741" customFormat="false" ht="15.75" hidden="false" customHeight="false" outlineLevel="0" collapsed="false">
      <c r="A741" s="3"/>
      <c r="B741" s="3"/>
      <c r="C741" s="4"/>
      <c r="D741" s="4"/>
      <c r="E741" s="5"/>
      <c r="F741" s="6"/>
      <c r="N741" s="7"/>
      <c r="W741" s="4"/>
      <c r="X741" s="4"/>
      <c r="Z741" s="7"/>
      <c r="AA741" s="4"/>
      <c r="AB741" s="3"/>
      <c r="AC741" s="3"/>
      <c r="AD741" s="3"/>
      <c r="AE741" s="3"/>
      <c r="AF741" s="3"/>
      <c r="AG741" s="3"/>
    </row>
    <row r="742" customFormat="false" ht="15.75" hidden="false" customHeight="false" outlineLevel="0" collapsed="false">
      <c r="A742" s="3"/>
      <c r="B742" s="3"/>
      <c r="C742" s="4"/>
      <c r="D742" s="4"/>
      <c r="E742" s="5"/>
      <c r="F742" s="6"/>
      <c r="N742" s="7"/>
      <c r="W742" s="4"/>
      <c r="X742" s="4"/>
      <c r="Z742" s="7"/>
      <c r="AA742" s="4"/>
      <c r="AB742" s="3"/>
      <c r="AC742" s="3"/>
      <c r="AD742" s="3"/>
      <c r="AE742" s="3"/>
      <c r="AF742" s="3"/>
      <c r="AG742" s="3"/>
    </row>
    <row r="743" customFormat="false" ht="15.75" hidden="false" customHeight="false" outlineLevel="0" collapsed="false">
      <c r="A743" s="3"/>
      <c r="B743" s="3"/>
      <c r="C743" s="4"/>
      <c r="D743" s="4"/>
      <c r="E743" s="5"/>
      <c r="F743" s="6"/>
      <c r="N743" s="7"/>
      <c r="W743" s="4"/>
      <c r="X743" s="4"/>
      <c r="Z743" s="7"/>
      <c r="AA743" s="4"/>
      <c r="AB743" s="3"/>
      <c r="AC743" s="3"/>
      <c r="AD743" s="3"/>
      <c r="AE743" s="3"/>
      <c r="AF743" s="3"/>
      <c r="AG743" s="3"/>
    </row>
    <row r="744" customFormat="false" ht="15.75" hidden="false" customHeight="false" outlineLevel="0" collapsed="false">
      <c r="A744" s="3"/>
      <c r="B744" s="3"/>
      <c r="C744" s="4"/>
      <c r="D744" s="4"/>
      <c r="E744" s="5"/>
      <c r="F744" s="6"/>
      <c r="N744" s="7"/>
      <c r="W744" s="4"/>
      <c r="X744" s="4"/>
      <c r="Z744" s="7"/>
      <c r="AA744" s="4"/>
      <c r="AB744" s="3"/>
      <c r="AC744" s="3"/>
      <c r="AD744" s="3"/>
      <c r="AE744" s="3"/>
      <c r="AF744" s="3"/>
      <c r="AG744" s="3"/>
    </row>
    <row r="745" customFormat="false" ht="15.75" hidden="false" customHeight="false" outlineLevel="0" collapsed="false">
      <c r="A745" s="3"/>
      <c r="B745" s="3"/>
      <c r="C745" s="4"/>
      <c r="D745" s="4"/>
      <c r="E745" s="5"/>
      <c r="F745" s="6"/>
      <c r="N745" s="7"/>
      <c r="W745" s="4"/>
      <c r="X745" s="4"/>
      <c r="Z745" s="7"/>
      <c r="AA745" s="4"/>
      <c r="AB745" s="3"/>
      <c r="AC745" s="3"/>
      <c r="AD745" s="3"/>
      <c r="AE745" s="3"/>
      <c r="AF745" s="3"/>
      <c r="AG745" s="3"/>
    </row>
    <row r="746" customFormat="false" ht="15.75" hidden="false" customHeight="false" outlineLevel="0" collapsed="false">
      <c r="A746" s="3"/>
      <c r="B746" s="3"/>
      <c r="C746" s="4"/>
      <c r="D746" s="4"/>
      <c r="E746" s="5"/>
      <c r="F746" s="6"/>
      <c r="N746" s="7"/>
      <c r="W746" s="4"/>
      <c r="X746" s="4"/>
      <c r="Z746" s="7"/>
      <c r="AA746" s="4"/>
      <c r="AB746" s="3"/>
      <c r="AC746" s="3"/>
      <c r="AD746" s="3"/>
      <c r="AE746" s="3"/>
      <c r="AF746" s="3"/>
      <c r="AG746" s="3"/>
    </row>
    <row r="747" customFormat="false" ht="15.75" hidden="false" customHeight="false" outlineLevel="0" collapsed="false">
      <c r="A747" s="3"/>
      <c r="B747" s="3"/>
      <c r="C747" s="4"/>
      <c r="D747" s="4"/>
      <c r="E747" s="5"/>
      <c r="F747" s="6"/>
      <c r="N747" s="7"/>
      <c r="W747" s="4"/>
      <c r="X747" s="4"/>
      <c r="Z747" s="7"/>
      <c r="AA747" s="4"/>
      <c r="AB747" s="3"/>
      <c r="AC747" s="3"/>
      <c r="AD747" s="3"/>
      <c r="AE747" s="3"/>
      <c r="AF747" s="3"/>
      <c r="AG747" s="3"/>
    </row>
    <row r="748" customFormat="false" ht="15.75" hidden="false" customHeight="false" outlineLevel="0" collapsed="false">
      <c r="A748" s="3"/>
      <c r="B748" s="3"/>
      <c r="C748" s="4"/>
      <c r="D748" s="4"/>
      <c r="E748" s="5"/>
      <c r="F748" s="6"/>
      <c r="N748" s="7"/>
      <c r="W748" s="4"/>
      <c r="X748" s="4"/>
      <c r="Z748" s="7"/>
      <c r="AA748" s="4"/>
      <c r="AB748" s="3"/>
      <c r="AC748" s="3"/>
      <c r="AD748" s="3"/>
      <c r="AE748" s="3"/>
      <c r="AF748" s="3"/>
      <c r="AG748" s="3"/>
    </row>
    <row r="749" customFormat="false" ht="15.75" hidden="false" customHeight="false" outlineLevel="0" collapsed="false">
      <c r="A749" s="3"/>
      <c r="B749" s="3"/>
      <c r="C749" s="4"/>
      <c r="D749" s="4"/>
      <c r="E749" s="5"/>
      <c r="F749" s="6"/>
      <c r="N749" s="7"/>
      <c r="W749" s="4"/>
      <c r="X749" s="4"/>
      <c r="Z749" s="7"/>
      <c r="AA749" s="4"/>
      <c r="AB749" s="3"/>
      <c r="AC749" s="3"/>
      <c r="AD749" s="3"/>
      <c r="AE749" s="3"/>
      <c r="AF749" s="3"/>
      <c r="AG749" s="3"/>
    </row>
    <row r="750" customFormat="false" ht="15.75" hidden="false" customHeight="false" outlineLevel="0" collapsed="false">
      <c r="A750" s="3"/>
      <c r="B750" s="3"/>
      <c r="C750" s="4"/>
      <c r="D750" s="4"/>
      <c r="E750" s="5"/>
      <c r="F750" s="6"/>
      <c r="N750" s="7"/>
      <c r="W750" s="4"/>
      <c r="X750" s="4"/>
      <c r="Z750" s="7"/>
      <c r="AA750" s="4"/>
      <c r="AB750" s="3"/>
      <c r="AC750" s="3"/>
      <c r="AD750" s="3"/>
      <c r="AE750" s="3"/>
      <c r="AF750" s="3"/>
      <c r="AG750" s="3"/>
    </row>
    <row r="751" customFormat="false" ht="15.75" hidden="false" customHeight="false" outlineLevel="0" collapsed="false">
      <c r="A751" s="3"/>
      <c r="B751" s="3"/>
      <c r="C751" s="4"/>
      <c r="D751" s="4"/>
      <c r="E751" s="5"/>
      <c r="F751" s="6"/>
      <c r="N751" s="7"/>
      <c r="W751" s="4"/>
      <c r="X751" s="4"/>
      <c r="Z751" s="7"/>
      <c r="AA751" s="4"/>
      <c r="AB751" s="3"/>
      <c r="AC751" s="3"/>
      <c r="AD751" s="3"/>
      <c r="AE751" s="3"/>
      <c r="AF751" s="3"/>
      <c r="AG751" s="3"/>
    </row>
    <row r="752" customFormat="false" ht="15.75" hidden="false" customHeight="false" outlineLevel="0" collapsed="false">
      <c r="A752" s="3"/>
      <c r="B752" s="3"/>
      <c r="C752" s="4"/>
      <c r="D752" s="4"/>
      <c r="E752" s="5"/>
      <c r="F752" s="6"/>
      <c r="N752" s="7"/>
      <c r="W752" s="4"/>
      <c r="X752" s="4"/>
      <c r="Z752" s="7"/>
      <c r="AA752" s="4"/>
      <c r="AB752" s="3"/>
      <c r="AC752" s="3"/>
      <c r="AD752" s="3"/>
      <c r="AE752" s="3"/>
      <c r="AF752" s="3"/>
      <c r="AG752" s="3"/>
    </row>
    <row r="753" customFormat="false" ht="15.75" hidden="false" customHeight="false" outlineLevel="0" collapsed="false">
      <c r="A753" s="3"/>
      <c r="B753" s="3"/>
      <c r="C753" s="4"/>
      <c r="D753" s="4"/>
      <c r="E753" s="5"/>
      <c r="F753" s="6"/>
      <c r="N753" s="7"/>
      <c r="W753" s="4"/>
      <c r="X753" s="4"/>
      <c r="Z753" s="7"/>
      <c r="AA753" s="4"/>
      <c r="AB753" s="3"/>
      <c r="AC753" s="3"/>
      <c r="AD753" s="3"/>
      <c r="AE753" s="3"/>
      <c r="AF753" s="3"/>
      <c r="AG753" s="3"/>
    </row>
    <row r="754" customFormat="false" ht="15.75" hidden="false" customHeight="false" outlineLevel="0" collapsed="false">
      <c r="A754" s="3"/>
      <c r="B754" s="3"/>
      <c r="C754" s="4"/>
      <c r="D754" s="4"/>
      <c r="E754" s="5"/>
      <c r="F754" s="6"/>
      <c r="N754" s="7"/>
      <c r="W754" s="4"/>
      <c r="X754" s="4"/>
      <c r="Z754" s="7"/>
      <c r="AA754" s="4"/>
      <c r="AB754" s="3"/>
      <c r="AC754" s="3"/>
      <c r="AD754" s="3"/>
      <c r="AE754" s="3"/>
      <c r="AF754" s="3"/>
      <c r="AG754" s="3"/>
    </row>
    <row r="755" customFormat="false" ht="15.75" hidden="false" customHeight="false" outlineLevel="0" collapsed="false">
      <c r="A755" s="3"/>
      <c r="B755" s="3"/>
      <c r="C755" s="4"/>
      <c r="D755" s="4"/>
      <c r="E755" s="5"/>
      <c r="F755" s="6"/>
      <c r="N755" s="7"/>
      <c r="W755" s="4"/>
      <c r="X755" s="4"/>
      <c r="Z755" s="7"/>
      <c r="AA755" s="4"/>
      <c r="AB755" s="3"/>
      <c r="AC755" s="3"/>
      <c r="AD755" s="3"/>
      <c r="AE755" s="3"/>
      <c r="AF755" s="3"/>
      <c r="AG755" s="3"/>
    </row>
    <row r="756" customFormat="false" ht="15.75" hidden="false" customHeight="false" outlineLevel="0" collapsed="false">
      <c r="A756" s="3"/>
      <c r="B756" s="3"/>
      <c r="C756" s="4"/>
      <c r="D756" s="4"/>
      <c r="E756" s="5"/>
      <c r="F756" s="6"/>
      <c r="N756" s="7"/>
      <c r="W756" s="4"/>
      <c r="X756" s="4"/>
      <c r="Z756" s="7"/>
      <c r="AA756" s="4"/>
      <c r="AB756" s="3"/>
      <c r="AC756" s="3"/>
      <c r="AD756" s="3"/>
      <c r="AE756" s="3"/>
      <c r="AF756" s="3"/>
      <c r="AG756" s="3"/>
    </row>
    <row r="757" customFormat="false" ht="15.75" hidden="false" customHeight="false" outlineLevel="0" collapsed="false">
      <c r="A757" s="3"/>
      <c r="B757" s="3"/>
      <c r="C757" s="4"/>
      <c r="D757" s="4"/>
      <c r="E757" s="5"/>
      <c r="F757" s="6"/>
      <c r="N757" s="7"/>
      <c r="W757" s="4"/>
      <c r="X757" s="4"/>
      <c r="Z757" s="7"/>
      <c r="AA757" s="4"/>
      <c r="AB757" s="3"/>
      <c r="AC757" s="3"/>
      <c r="AD757" s="3"/>
      <c r="AE757" s="3"/>
      <c r="AF757" s="3"/>
      <c r="AG757" s="3"/>
    </row>
    <row r="758" customFormat="false" ht="15.75" hidden="false" customHeight="false" outlineLevel="0" collapsed="false">
      <c r="A758" s="3"/>
      <c r="B758" s="3"/>
      <c r="C758" s="4"/>
      <c r="D758" s="4"/>
      <c r="E758" s="5"/>
      <c r="F758" s="6"/>
      <c r="N758" s="7"/>
      <c r="W758" s="4"/>
      <c r="X758" s="4"/>
      <c r="Z758" s="7"/>
      <c r="AA758" s="4"/>
      <c r="AB758" s="3"/>
      <c r="AC758" s="3"/>
      <c r="AD758" s="3"/>
      <c r="AE758" s="3"/>
      <c r="AF758" s="3"/>
      <c r="AG758" s="3"/>
    </row>
    <row r="759" customFormat="false" ht="15.75" hidden="false" customHeight="false" outlineLevel="0" collapsed="false">
      <c r="A759" s="3"/>
      <c r="B759" s="3"/>
      <c r="C759" s="4"/>
      <c r="D759" s="4"/>
      <c r="E759" s="5"/>
      <c r="F759" s="6"/>
      <c r="N759" s="7"/>
      <c r="W759" s="4"/>
      <c r="X759" s="4"/>
      <c r="Z759" s="7"/>
      <c r="AA759" s="4"/>
      <c r="AB759" s="3"/>
      <c r="AC759" s="3"/>
      <c r="AD759" s="3"/>
      <c r="AE759" s="3"/>
      <c r="AF759" s="3"/>
      <c r="AG759" s="3"/>
    </row>
    <row r="760" customFormat="false" ht="15.75" hidden="false" customHeight="false" outlineLevel="0" collapsed="false">
      <c r="A760" s="3"/>
      <c r="B760" s="3"/>
      <c r="C760" s="4"/>
      <c r="D760" s="4"/>
      <c r="E760" s="5"/>
      <c r="F760" s="6"/>
      <c r="N760" s="7"/>
      <c r="W760" s="4"/>
      <c r="X760" s="4"/>
      <c r="Z760" s="7"/>
      <c r="AA760" s="4"/>
      <c r="AB760" s="3"/>
      <c r="AC760" s="3"/>
      <c r="AD760" s="3"/>
      <c r="AE760" s="3"/>
      <c r="AF760" s="3"/>
      <c r="AG760" s="3"/>
    </row>
    <row r="761" customFormat="false" ht="15.75" hidden="false" customHeight="false" outlineLevel="0" collapsed="false">
      <c r="A761" s="3"/>
      <c r="B761" s="3"/>
      <c r="C761" s="4"/>
      <c r="D761" s="4"/>
      <c r="E761" s="5"/>
      <c r="F761" s="6"/>
      <c r="N761" s="7"/>
      <c r="W761" s="4"/>
      <c r="X761" s="4"/>
      <c r="Z761" s="7"/>
      <c r="AA761" s="4"/>
      <c r="AB761" s="3"/>
      <c r="AC761" s="3"/>
      <c r="AD761" s="3"/>
      <c r="AE761" s="3"/>
      <c r="AF761" s="3"/>
      <c r="AG761" s="3"/>
    </row>
    <row r="762" customFormat="false" ht="15.75" hidden="false" customHeight="false" outlineLevel="0" collapsed="false">
      <c r="A762" s="3"/>
      <c r="B762" s="3"/>
      <c r="C762" s="4"/>
      <c r="D762" s="4"/>
      <c r="E762" s="5"/>
      <c r="F762" s="6"/>
      <c r="N762" s="7"/>
      <c r="W762" s="4"/>
      <c r="X762" s="4"/>
      <c r="Z762" s="7"/>
      <c r="AA762" s="4"/>
      <c r="AB762" s="3"/>
      <c r="AC762" s="3"/>
      <c r="AD762" s="3"/>
      <c r="AE762" s="3"/>
      <c r="AF762" s="3"/>
      <c r="AG762" s="3"/>
    </row>
    <row r="763" customFormat="false" ht="15.75" hidden="false" customHeight="false" outlineLevel="0" collapsed="false">
      <c r="A763" s="3"/>
      <c r="B763" s="3"/>
      <c r="C763" s="4"/>
      <c r="D763" s="4"/>
      <c r="E763" s="5"/>
      <c r="F763" s="6"/>
      <c r="N763" s="7"/>
      <c r="W763" s="4"/>
      <c r="X763" s="4"/>
      <c r="Z763" s="7"/>
      <c r="AA763" s="4"/>
      <c r="AB763" s="3"/>
      <c r="AC763" s="3"/>
      <c r="AD763" s="3"/>
      <c r="AE763" s="3"/>
      <c r="AF763" s="3"/>
      <c r="AG763" s="3"/>
    </row>
    <row r="764" customFormat="false" ht="15.75" hidden="false" customHeight="false" outlineLevel="0" collapsed="false">
      <c r="A764" s="3"/>
      <c r="B764" s="3"/>
      <c r="C764" s="4"/>
      <c r="D764" s="4"/>
      <c r="E764" s="5"/>
      <c r="F764" s="6"/>
      <c r="N764" s="7"/>
      <c r="W764" s="4"/>
      <c r="X764" s="4"/>
      <c r="Z764" s="7"/>
      <c r="AA764" s="4"/>
      <c r="AB764" s="3"/>
      <c r="AC764" s="3"/>
      <c r="AD764" s="3"/>
      <c r="AE764" s="3"/>
      <c r="AF764" s="3"/>
      <c r="AG764" s="3"/>
    </row>
    <row r="765" customFormat="false" ht="15.75" hidden="false" customHeight="false" outlineLevel="0" collapsed="false">
      <c r="A765" s="3"/>
      <c r="B765" s="3"/>
      <c r="C765" s="4"/>
      <c r="D765" s="4"/>
      <c r="E765" s="5"/>
      <c r="F765" s="6"/>
      <c r="N765" s="7"/>
      <c r="W765" s="4"/>
      <c r="X765" s="4"/>
      <c r="Z765" s="7"/>
      <c r="AA765" s="4"/>
      <c r="AB765" s="3"/>
      <c r="AC765" s="3"/>
      <c r="AD765" s="3"/>
      <c r="AE765" s="3"/>
      <c r="AF765" s="3"/>
      <c r="AG765" s="3"/>
    </row>
    <row r="766" customFormat="false" ht="15.75" hidden="false" customHeight="false" outlineLevel="0" collapsed="false">
      <c r="A766" s="3"/>
      <c r="B766" s="3"/>
      <c r="C766" s="4"/>
      <c r="D766" s="4"/>
      <c r="E766" s="5"/>
      <c r="F766" s="6"/>
      <c r="N766" s="7"/>
      <c r="W766" s="4"/>
      <c r="X766" s="4"/>
      <c r="Z766" s="7"/>
      <c r="AA766" s="4"/>
      <c r="AB766" s="3"/>
      <c r="AC766" s="3"/>
      <c r="AD766" s="3"/>
      <c r="AE766" s="3"/>
      <c r="AF766" s="3"/>
      <c r="AG766" s="3"/>
    </row>
    <row r="767" customFormat="false" ht="15.75" hidden="false" customHeight="false" outlineLevel="0" collapsed="false">
      <c r="A767" s="3"/>
      <c r="B767" s="3"/>
      <c r="C767" s="4"/>
      <c r="D767" s="4"/>
      <c r="E767" s="5"/>
      <c r="F767" s="6"/>
      <c r="N767" s="7"/>
      <c r="W767" s="4"/>
      <c r="X767" s="4"/>
      <c r="Z767" s="7"/>
      <c r="AA767" s="4"/>
      <c r="AB767" s="3"/>
      <c r="AC767" s="3"/>
      <c r="AD767" s="3"/>
      <c r="AE767" s="3"/>
      <c r="AF767" s="3"/>
      <c r="AG767" s="3"/>
    </row>
    <row r="768" customFormat="false" ht="15.75" hidden="false" customHeight="false" outlineLevel="0" collapsed="false">
      <c r="A768" s="3"/>
      <c r="B768" s="3"/>
      <c r="C768" s="4"/>
      <c r="D768" s="4"/>
      <c r="E768" s="5"/>
      <c r="F768" s="6"/>
      <c r="N768" s="7"/>
      <c r="W768" s="4"/>
      <c r="X768" s="4"/>
      <c r="Z768" s="7"/>
      <c r="AA768" s="4"/>
      <c r="AB768" s="3"/>
      <c r="AC768" s="3"/>
      <c r="AD768" s="3"/>
      <c r="AE768" s="3"/>
      <c r="AF768" s="3"/>
      <c r="AG768" s="3"/>
    </row>
    <row r="769" customFormat="false" ht="15.75" hidden="false" customHeight="false" outlineLevel="0" collapsed="false">
      <c r="A769" s="3"/>
      <c r="B769" s="3"/>
      <c r="C769" s="4"/>
      <c r="D769" s="4"/>
      <c r="E769" s="5"/>
      <c r="F769" s="6"/>
      <c r="N769" s="7"/>
      <c r="W769" s="4"/>
      <c r="X769" s="4"/>
      <c r="Z769" s="7"/>
      <c r="AA769" s="4"/>
      <c r="AB769" s="3"/>
      <c r="AC769" s="3"/>
      <c r="AD769" s="3"/>
      <c r="AE769" s="3"/>
      <c r="AF769" s="3"/>
      <c r="AG769" s="3"/>
    </row>
    <row r="770" customFormat="false" ht="15.75" hidden="false" customHeight="false" outlineLevel="0" collapsed="false">
      <c r="A770" s="3"/>
      <c r="B770" s="3"/>
      <c r="C770" s="4"/>
      <c r="D770" s="4"/>
      <c r="E770" s="5"/>
      <c r="F770" s="6"/>
      <c r="N770" s="7"/>
      <c r="W770" s="4"/>
      <c r="X770" s="4"/>
      <c r="Z770" s="7"/>
      <c r="AA770" s="4"/>
      <c r="AB770" s="3"/>
      <c r="AC770" s="3"/>
      <c r="AD770" s="3"/>
      <c r="AE770" s="3"/>
      <c r="AF770" s="3"/>
      <c r="AG770" s="3"/>
    </row>
    <row r="771" customFormat="false" ht="15.75" hidden="false" customHeight="false" outlineLevel="0" collapsed="false">
      <c r="A771" s="3"/>
      <c r="B771" s="3"/>
      <c r="C771" s="4"/>
      <c r="D771" s="4"/>
      <c r="E771" s="5"/>
      <c r="F771" s="6"/>
      <c r="N771" s="7"/>
      <c r="W771" s="4"/>
      <c r="X771" s="4"/>
      <c r="Z771" s="7"/>
      <c r="AA771" s="4"/>
      <c r="AB771" s="3"/>
      <c r="AC771" s="3"/>
      <c r="AD771" s="3"/>
      <c r="AE771" s="3"/>
      <c r="AF771" s="3"/>
      <c r="AG771" s="3"/>
    </row>
    <row r="772" customFormat="false" ht="15.75" hidden="false" customHeight="false" outlineLevel="0" collapsed="false">
      <c r="A772" s="3"/>
      <c r="B772" s="3"/>
      <c r="C772" s="4"/>
      <c r="D772" s="4"/>
      <c r="E772" s="5"/>
      <c r="F772" s="6"/>
      <c r="N772" s="7"/>
      <c r="W772" s="4"/>
      <c r="X772" s="4"/>
      <c r="Z772" s="7"/>
      <c r="AA772" s="4"/>
      <c r="AB772" s="3"/>
      <c r="AC772" s="3"/>
      <c r="AD772" s="3"/>
      <c r="AE772" s="3"/>
      <c r="AF772" s="3"/>
      <c r="AG772" s="3"/>
    </row>
    <row r="773" customFormat="false" ht="15.75" hidden="false" customHeight="false" outlineLevel="0" collapsed="false">
      <c r="A773" s="3"/>
      <c r="B773" s="3"/>
      <c r="C773" s="4"/>
      <c r="D773" s="4"/>
      <c r="E773" s="5"/>
      <c r="F773" s="6"/>
      <c r="N773" s="7"/>
      <c r="W773" s="4"/>
      <c r="X773" s="4"/>
      <c r="Z773" s="7"/>
      <c r="AA773" s="4"/>
      <c r="AB773" s="3"/>
      <c r="AC773" s="3"/>
      <c r="AD773" s="3"/>
      <c r="AE773" s="3"/>
      <c r="AF773" s="3"/>
      <c r="AG773" s="3"/>
    </row>
    <row r="774" customFormat="false" ht="15.75" hidden="false" customHeight="false" outlineLevel="0" collapsed="false">
      <c r="A774" s="3"/>
      <c r="B774" s="3"/>
      <c r="C774" s="4"/>
      <c r="D774" s="4"/>
      <c r="E774" s="5"/>
      <c r="F774" s="6"/>
      <c r="N774" s="7"/>
      <c r="W774" s="4"/>
      <c r="X774" s="4"/>
      <c r="Z774" s="7"/>
      <c r="AA774" s="4"/>
      <c r="AB774" s="3"/>
      <c r="AC774" s="3"/>
      <c r="AD774" s="3"/>
      <c r="AE774" s="3"/>
      <c r="AF774" s="3"/>
      <c r="AG774" s="3"/>
    </row>
    <row r="775" customFormat="false" ht="15.75" hidden="false" customHeight="false" outlineLevel="0" collapsed="false">
      <c r="A775" s="3"/>
      <c r="B775" s="3"/>
      <c r="C775" s="4"/>
      <c r="D775" s="4"/>
      <c r="E775" s="5"/>
      <c r="F775" s="6"/>
      <c r="N775" s="7"/>
      <c r="W775" s="4"/>
      <c r="X775" s="4"/>
      <c r="Z775" s="7"/>
      <c r="AA775" s="4"/>
      <c r="AB775" s="3"/>
      <c r="AC775" s="3"/>
      <c r="AD775" s="3"/>
      <c r="AE775" s="3"/>
      <c r="AF775" s="3"/>
      <c r="AG775" s="3"/>
    </row>
    <row r="776" customFormat="false" ht="15.75" hidden="false" customHeight="false" outlineLevel="0" collapsed="false">
      <c r="A776" s="3"/>
      <c r="B776" s="3"/>
      <c r="C776" s="4"/>
      <c r="D776" s="4"/>
      <c r="E776" s="5"/>
      <c r="F776" s="6"/>
      <c r="N776" s="7"/>
      <c r="W776" s="4"/>
      <c r="X776" s="4"/>
      <c r="Z776" s="7"/>
      <c r="AA776" s="4"/>
      <c r="AB776" s="3"/>
      <c r="AC776" s="3"/>
      <c r="AD776" s="3"/>
      <c r="AE776" s="3"/>
      <c r="AF776" s="3"/>
      <c r="AG776" s="3"/>
    </row>
    <row r="777" customFormat="false" ht="15.75" hidden="false" customHeight="false" outlineLevel="0" collapsed="false">
      <c r="A777" s="3"/>
      <c r="B777" s="3"/>
      <c r="C777" s="4"/>
      <c r="D777" s="4"/>
      <c r="E777" s="5"/>
      <c r="F777" s="6"/>
      <c r="N777" s="7"/>
      <c r="W777" s="4"/>
      <c r="X777" s="4"/>
      <c r="Z777" s="7"/>
      <c r="AA777" s="4"/>
      <c r="AB777" s="3"/>
      <c r="AC777" s="3"/>
      <c r="AD777" s="3"/>
      <c r="AE777" s="3"/>
      <c r="AF777" s="3"/>
      <c r="AG777" s="3"/>
    </row>
    <row r="778" customFormat="false" ht="15.75" hidden="false" customHeight="false" outlineLevel="0" collapsed="false">
      <c r="A778" s="3"/>
      <c r="B778" s="3"/>
      <c r="C778" s="4"/>
      <c r="D778" s="4"/>
      <c r="E778" s="5"/>
      <c r="F778" s="6"/>
      <c r="N778" s="7"/>
      <c r="W778" s="4"/>
      <c r="X778" s="4"/>
      <c r="Z778" s="7"/>
      <c r="AA778" s="4"/>
      <c r="AB778" s="3"/>
      <c r="AC778" s="3"/>
      <c r="AD778" s="3"/>
      <c r="AE778" s="3"/>
      <c r="AF778" s="3"/>
      <c r="AG778" s="3"/>
    </row>
    <row r="779" customFormat="false" ht="15.75" hidden="false" customHeight="false" outlineLevel="0" collapsed="false">
      <c r="A779" s="3"/>
      <c r="B779" s="3"/>
      <c r="C779" s="4"/>
      <c r="D779" s="4"/>
      <c r="E779" s="5"/>
      <c r="F779" s="6"/>
      <c r="N779" s="7"/>
      <c r="W779" s="4"/>
      <c r="X779" s="4"/>
      <c r="Z779" s="7"/>
      <c r="AA779" s="4"/>
      <c r="AB779" s="3"/>
      <c r="AC779" s="3"/>
      <c r="AD779" s="3"/>
      <c r="AE779" s="3"/>
      <c r="AF779" s="3"/>
      <c r="AG779" s="3"/>
    </row>
    <row r="780" customFormat="false" ht="15.75" hidden="false" customHeight="false" outlineLevel="0" collapsed="false">
      <c r="A780" s="3"/>
      <c r="B780" s="3"/>
      <c r="C780" s="4"/>
      <c r="D780" s="4"/>
      <c r="E780" s="5"/>
      <c r="F780" s="6"/>
      <c r="N780" s="7"/>
      <c r="W780" s="4"/>
      <c r="X780" s="4"/>
      <c r="Z780" s="7"/>
      <c r="AA780" s="4"/>
      <c r="AB780" s="3"/>
      <c r="AC780" s="3"/>
      <c r="AD780" s="3"/>
      <c r="AE780" s="3"/>
      <c r="AF780" s="3"/>
      <c r="AG780" s="3"/>
    </row>
    <row r="781" customFormat="false" ht="15.75" hidden="false" customHeight="false" outlineLevel="0" collapsed="false">
      <c r="A781" s="3"/>
      <c r="B781" s="3"/>
      <c r="C781" s="4"/>
      <c r="D781" s="4"/>
      <c r="E781" s="5"/>
      <c r="F781" s="6"/>
      <c r="N781" s="7"/>
      <c r="W781" s="4"/>
      <c r="X781" s="4"/>
      <c r="Z781" s="7"/>
      <c r="AA781" s="4"/>
      <c r="AB781" s="3"/>
      <c r="AC781" s="3"/>
      <c r="AD781" s="3"/>
      <c r="AE781" s="3"/>
      <c r="AF781" s="3"/>
      <c r="AG781" s="3"/>
    </row>
    <row r="782" customFormat="false" ht="15.75" hidden="false" customHeight="false" outlineLevel="0" collapsed="false">
      <c r="A782" s="3"/>
      <c r="B782" s="3"/>
      <c r="C782" s="4"/>
      <c r="D782" s="4"/>
      <c r="E782" s="5"/>
      <c r="F782" s="6"/>
      <c r="N782" s="7"/>
      <c r="W782" s="4"/>
      <c r="X782" s="4"/>
      <c r="Z782" s="7"/>
      <c r="AA782" s="4"/>
      <c r="AB782" s="3"/>
      <c r="AC782" s="3"/>
      <c r="AD782" s="3"/>
      <c r="AE782" s="3"/>
      <c r="AF782" s="3"/>
      <c r="AG782" s="3"/>
    </row>
    <row r="783" customFormat="false" ht="15.75" hidden="false" customHeight="false" outlineLevel="0" collapsed="false">
      <c r="A783" s="3"/>
      <c r="B783" s="3"/>
      <c r="C783" s="4"/>
      <c r="D783" s="4"/>
      <c r="E783" s="5"/>
      <c r="F783" s="6"/>
      <c r="N783" s="7"/>
      <c r="W783" s="4"/>
      <c r="X783" s="4"/>
      <c r="Z783" s="7"/>
      <c r="AA783" s="4"/>
      <c r="AB783" s="3"/>
      <c r="AC783" s="3"/>
      <c r="AD783" s="3"/>
      <c r="AE783" s="3"/>
      <c r="AF783" s="3"/>
      <c r="AG783" s="3"/>
    </row>
    <row r="784" customFormat="false" ht="15.75" hidden="false" customHeight="false" outlineLevel="0" collapsed="false">
      <c r="A784" s="3"/>
      <c r="B784" s="3"/>
      <c r="C784" s="4"/>
      <c r="D784" s="4"/>
      <c r="E784" s="5"/>
      <c r="F784" s="6"/>
      <c r="N784" s="7"/>
      <c r="W784" s="4"/>
      <c r="X784" s="4"/>
      <c r="Z784" s="7"/>
      <c r="AA784" s="4"/>
      <c r="AB784" s="3"/>
      <c r="AC784" s="3"/>
      <c r="AD784" s="3"/>
      <c r="AE784" s="3"/>
      <c r="AF784" s="3"/>
      <c r="AG784" s="3"/>
    </row>
    <row r="785" customFormat="false" ht="15.75" hidden="false" customHeight="false" outlineLevel="0" collapsed="false">
      <c r="A785" s="3"/>
      <c r="B785" s="3"/>
      <c r="C785" s="4"/>
      <c r="D785" s="4"/>
      <c r="E785" s="5"/>
      <c r="F785" s="6"/>
      <c r="N785" s="7"/>
      <c r="W785" s="4"/>
      <c r="X785" s="4"/>
      <c r="Z785" s="7"/>
      <c r="AA785" s="4"/>
      <c r="AB785" s="3"/>
      <c r="AC785" s="3"/>
      <c r="AD785" s="3"/>
      <c r="AE785" s="3"/>
      <c r="AF785" s="3"/>
      <c r="AG785" s="3"/>
    </row>
    <row r="786" customFormat="false" ht="15.75" hidden="false" customHeight="false" outlineLevel="0" collapsed="false">
      <c r="A786" s="3"/>
      <c r="B786" s="3"/>
      <c r="C786" s="4"/>
      <c r="D786" s="4"/>
      <c r="E786" s="5"/>
      <c r="F786" s="6"/>
      <c r="N786" s="7"/>
      <c r="W786" s="4"/>
      <c r="X786" s="4"/>
      <c r="Z786" s="7"/>
      <c r="AA786" s="4"/>
      <c r="AB786" s="3"/>
      <c r="AC786" s="3"/>
      <c r="AD786" s="3"/>
      <c r="AE786" s="3"/>
      <c r="AF786" s="3"/>
      <c r="AG786" s="3"/>
    </row>
    <row r="787" customFormat="false" ht="15.75" hidden="false" customHeight="false" outlineLevel="0" collapsed="false">
      <c r="A787" s="3"/>
      <c r="B787" s="3"/>
      <c r="C787" s="4"/>
      <c r="D787" s="4"/>
      <c r="E787" s="5"/>
      <c r="F787" s="6"/>
      <c r="N787" s="7"/>
      <c r="W787" s="4"/>
      <c r="X787" s="4"/>
      <c r="Z787" s="7"/>
      <c r="AA787" s="4"/>
      <c r="AB787" s="3"/>
      <c r="AC787" s="3"/>
      <c r="AD787" s="3"/>
      <c r="AE787" s="3"/>
      <c r="AF787" s="3"/>
      <c r="AG787" s="3"/>
    </row>
    <row r="788" customFormat="false" ht="15.75" hidden="false" customHeight="false" outlineLevel="0" collapsed="false">
      <c r="A788" s="3"/>
      <c r="B788" s="3"/>
      <c r="C788" s="4"/>
      <c r="D788" s="4"/>
      <c r="E788" s="5"/>
      <c r="F788" s="6"/>
      <c r="N788" s="7"/>
      <c r="W788" s="4"/>
      <c r="X788" s="4"/>
      <c r="Z788" s="7"/>
      <c r="AA788" s="4"/>
      <c r="AB788" s="3"/>
      <c r="AC788" s="3"/>
      <c r="AD788" s="3"/>
      <c r="AE788" s="3"/>
      <c r="AF788" s="3"/>
      <c r="AG788" s="3"/>
    </row>
    <row r="789" customFormat="false" ht="15.75" hidden="false" customHeight="false" outlineLevel="0" collapsed="false">
      <c r="A789" s="3"/>
      <c r="B789" s="3"/>
      <c r="C789" s="4"/>
      <c r="D789" s="4"/>
      <c r="E789" s="5"/>
      <c r="F789" s="6"/>
      <c r="N789" s="7"/>
      <c r="W789" s="4"/>
      <c r="X789" s="4"/>
      <c r="Z789" s="7"/>
      <c r="AA789" s="4"/>
      <c r="AB789" s="3"/>
      <c r="AC789" s="3"/>
      <c r="AD789" s="3"/>
      <c r="AE789" s="3"/>
      <c r="AF789" s="3"/>
      <c r="AG789" s="3"/>
    </row>
    <row r="790" customFormat="false" ht="15.75" hidden="false" customHeight="false" outlineLevel="0" collapsed="false">
      <c r="A790" s="3"/>
      <c r="B790" s="3"/>
      <c r="C790" s="4"/>
      <c r="D790" s="4"/>
      <c r="E790" s="5"/>
      <c r="F790" s="6"/>
      <c r="N790" s="7"/>
      <c r="W790" s="4"/>
      <c r="X790" s="4"/>
      <c r="Z790" s="7"/>
      <c r="AA790" s="4"/>
      <c r="AB790" s="3"/>
      <c r="AC790" s="3"/>
      <c r="AD790" s="3"/>
      <c r="AE790" s="3"/>
      <c r="AF790" s="3"/>
      <c r="AG790" s="3"/>
    </row>
    <row r="791" customFormat="false" ht="15.75" hidden="false" customHeight="false" outlineLevel="0" collapsed="false">
      <c r="A791" s="3"/>
      <c r="B791" s="3"/>
      <c r="C791" s="4"/>
      <c r="D791" s="4"/>
      <c r="E791" s="5"/>
      <c r="F791" s="6"/>
      <c r="N791" s="7"/>
      <c r="W791" s="4"/>
      <c r="X791" s="4"/>
      <c r="Z791" s="7"/>
      <c r="AA791" s="4"/>
      <c r="AB791" s="3"/>
      <c r="AC791" s="3"/>
      <c r="AD791" s="3"/>
      <c r="AE791" s="3"/>
      <c r="AF791" s="3"/>
      <c r="AG791" s="3"/>
    </row>
    <row r="792" customFormat="false" ht="15.75" hidden="false" customHeight="false" outlineLevel="0" collapsed="false">
      <c r="A792" s="3"/>
      <c r="B792" s="3"/>
      <c r="C792" s="4"/>
      <c r="D792" s="4"/>
      <c r="E792" s="5"/>
      <c r="F792" s="6"/>
      <c r="N792" s="7"/>
      <c r="W792" s="4"/>
      <c r="X792" s="4"/>
      <c r="Z792" s="7"/>
      <c r="AA792" s="4"/>
      <c r="AB792" s="3"/>
      <c r="AC792" s="3"/>
      <c r="AD792" s="3"/>
      <c r="AE792" s="3"/>
      <c r="AF792" s="3"/>
      <c r="AG792" s="3"/>
    </row>
    <row r="793" customFormat="false" ht="15.75" hidden="false" customHeight="false" outlineLevel="0" collapsed="false">
      <c r="A793" s="3"/>
      <c r="B793" s="3"/>
      <c r="C793" s="4"/>
      <c r="D793" s="4"/>
      <c r="E793" s="5"/>
      <c r="F793" s="6"/>
      <c r="N793" s="7"/>
      <c r="W793" s="4"/>
      <c r="X793" s="4"/>
      <c r="Z793" s="7"/>
      <c r="AA793" s="4"/>
      <c r="AB793" s="3"/>
      <c r="AC793" s="3"/>
      <c r="AD793" s="3"/>
      <c r="AE793" s="3"/>
      <c r="AF793" s="3"/>
      <c r="AG793" s="3"/>
    </row>
    <row r="794" customFormat="false" ht="15.75" hidden="false" customHeight="false" outlineLevel="0" collapsed="false">
      <c r="A794" s="3"/>
      <c r="B794" s="3"/>
      <c r="C794" s="4"/>
      <c r="D794" s="4"/>
      <c r="E794" s="5"/>
      <c r="F794" s="6"/>
      <c r="N794" s="7"/>
      <c r="W794" s="4"/>
      <c r="X794" s="4"/>
      <c r="Z794" s="7"/>
      <c r="AA794" s="4"/>
      <c r="AB794" s="3"/>
      <c r="AC794" s="3"/>
      <c r="AD794" s="3"/>
      <c r="AE794" s="3"/>
      <c r="AF794" s="3"/>
      <c r="AG794" s="3"/>
    </row>
    <row r="795" customFormat="false" ht="15.75" hidden="false" customHeight="false" outlineLevel="0" collapsed="false">
      <c r="A795" s="3"/>
      <c r="B795" s="3"/>
      <c r="C795" s="4"/>
      <c r="D795" s="4"/>
      <c r="E795" s="5"/>
      <c r="F795" s="6"/>
      <c r="N795" s="7"/>
      <c r="W795" s="4"/>
      <c r="X795" s="4"/>
      <c r="Z795" s="7"/>
      <c r="AA795" s="4"/>
      <c r="AB795" s="3"/>
      <c r="AC795" s="3"/>
      <c r="AD795" s="3"/>
      <c r="AE795" s="3"/>
      <c r="AF795" s="3"/>
      <c r="AG795" s="3"/>
    </row>
    <row r="796" customFormat="false" ht="15.75" hidden="false" customHeight="false" outlineLevel="0" collapsed="false">
      <c r="A796" s="3"/>
      <c r="B796" s="3"/>
      <c r="C796" s="4"/>
      <c r="D796" s="4"/>
      <c r="E796" s="5"/>
      <c r="F796" s="6"/>
      <c r="N796" s="7"/>
      <c r="W796" s="4"/>
      <c r="X796" s="4"/>
      <c r="Z796" s="7"/>
      <c r="AA796" s="4"/>
      <c r="AB796" s="3"/>
      <c r="AC796" s="3"/>
      <c r="AD796" s="3"/>
      <c r="AE796" s="3"/>
      <c r="AF796" s="3"/>
      <c r="AG796" s="3"/>
    </row>
    <row r="797" customFormat="false" ht="15.75" hidden="false" customHeight="false" outlineLevel="0" collapsed="false">
      <c r="A797" s="3"/>
      <c r="B797" s="3"/>
      <c r="C797" s="4"/>
      <c r="D797" s="4"/>
      <c r="E797" s="5"/>
      <c r="F797" s="6"/>
      <c r="N797" s="7"/>
      <c r="W797" s="4"/>
      <c r="X797" s="4"/>
      <c r="Z797" s="7"/>
      <c r="AA797" s="4"/>
      <c r="AB797" s="3"/>
      <c r="AC797" s="3"/>
      <c r="AD797" s="3"/>
      <c r="AE797" s="3"/>
      <c r="AF797" s="3"/>
      <c r="AG797" s="3"/>
    </row>
    <row r="798" customFormat="false" ht="15.75" hidden="false" customHeight="false" outlineLevel="0" collapsed="false">
      <c r="A798" s="3"/>
      <c r="B798" s="3"/>
      <c r="C798" s="4"/>
      <c r="D798" s="4"/>
      <c r="E798" s="5"/>
      <c r="F798" s="6"/>
      <c r="N798" s="7"/>
      <c r="W798" s="4"/>
      <c r="X798" s="4"/>
      <c r="Z798" s="7"/>
      <c r="AA798" s="4"/>
      <c r="AB798" s="3"/>
      <c r="AC798" s="3"/>
      <c r="AD798" s="3"/>
      <c r="AE798" s="3"/>
      <c r="AF798" s="3"/>
      <c r="AG798" s="3"/>
    </row>
    <row r="799" customFormat="false" ht="15.75" hidden="false" customHeight="false" outlineLevel="0" collapsed="false">
      <c r="A799" s="3"/>
      <c r="B799" s="3"/>
      <c r="C799" s="4"/>
      <c r="D799" s="4"/>
      <c r="E799" s="5"/>
      <c r="F799" s="6"/>
      <c r="N799" s="7"/>
      <c r="W799" s="4"/>
      <c r="X799" s="4"/>
      <c r="Z799" s="7"/>
      <c r="AA799" s="4"/>
      <c r="AB799" s="3"/>
      <c r="AC799" s="3"/>
      <c r="AD799" s="3"/>
      <c r="AE799" s="3"/>
      <c r="AF799" s="3"/>
      <c r="AG799" s="3"/>
    </row>
    <row r="800" customFormat="false" ht="15.75" hidden="false" customHeight="false" outlineLevel="0" collapsed="false">
      <c r="A800" s="3"/>
      <c r="B800" s="3"/>
      <c r="C800" s="4"/>
      <c r="D800" s="4"/>
      <c r="E800" s="5"/>
      <c r="F800" s="6"/>
      <c r="N800" s="7"/>
      <c r="W800" s="4"/>
      <c r="X800" s="4"/>
      <c r="Z800" s="7"/>
      <c r="AA800" s="4"/>
      <c r="AB800" s="3"/>
      <c r="AC800" s="3"/>
      <c r="AD800" s="3"/>
      <c r="AE800" s="3"/>
      <c r="AF800" s="3"/>
      <c r="AG800" s="3"/>
    </row>
    <row r="801" customFormat="false" ht="15.75" hidden="false" customHeight="false" outlineLevel="0" collapsed="false">
      <c r="A801" s="3"/>
      <c r="B801" s="3"/>
      <c r="C801" s="4"/>
      <c r="D801" s="4"/>
      <c r="E801" s="5"/>
      <c r="F801" s="6"/>
      <c r="N801" s="7"/>
      <c r="W801" s="4"/>
      <c r="X801" s="4"/>
      <c r="Z801" s="7"/>
      <c r="AA801" s="4"/>
      <c r="AB801" s="3"/>
      <c r="AC801" s="3"/>
      <c r="AD801" s="3"/>
      <c r="AE801" s="3"/>
      <c r="AF801" s="3"/>
      <c r="AG801" s="3"/>
    </row>
    <row r="802" customFormat="false" ht="15.75" hidden="false" customHeight="false" outlineLevel="0" collapsed="false">
      <c r="A802" s="3"/>
      <c r="B802" s="3"/>
      <c r="C802" s="4"/>
      <c r="D802" s="4"/>
      <c r="E802" s="5"/>
      <c r="F802" s="6"/>
      <c r="N802" s="7"/>
      <c r="W802" s="4"/>
      <c r="X802" s="4"/>
      <c r="Z802" s="7"/>
      <c r="AA802" s="4"/>
      <c r="AB802" s="3"/>
      <c r="AC802" s="3"/>
      <c r="AD802" s="3"/>
      <c r="AE802" s="3"/>
      <c r="AF802" s="3"/>
      <c r="AG802" s="3"/>
    </row>
    <row r="803" customFormat="false" ht="15.75" hidden="false" customHeight="false" outlineLevel="0" collapsed="false">
      <c r="A803" s="3"/>
      <c r="B803" s="3"/>
      <c r="C803" s="4"/>
      <c r="D803" s="4"/>
      <c r="E803" s="5"/>
      <c r="F803" s="6"/>
      <c r="N803" s="7"/>
      <c r="W803" s="4"/>
      <c r="X803" s="4"/>
      <c r="Z803" s="7"/>
      <c r="AA803" s="4"/>
      <c r="AB803" s="3"/>
      <c r="AC803" s="3"/>
      <c r="AD803" s="3"/>
      <c r="AE803" s="3"/>
      <c r="AF803" s="3"/>
      <c r="AG803" s="3"/>
    </row>
    <row r="804" customFormat="false" ht="15.75" hidden="false" customHeight="false" outlineLevel="0" collapsed="false">
      <c r="A804" s="3"/>
      <c r="B804" s="3"/>
      <c r="C804" s="4"/>
      <c r="D804" s="4"/>
      <c r="E804" s="5"/>
      <c r="F804" s="6"/>
      <c r="N804" s="7"/>
      <c r="W804" s="4"/>
      <c r="X804" s="4"/>
      <c r="Z804" s="7"/>
      <c r="AA804" s="4"/>
      <c r="AB804" s="3"/>
      <c r="AC804" s="3"/>
      <c r="AD804" s="3"/>
      <c r="AE804" s="3"/>
      <c r="AF804" s="3"/>
      <c r="AG804" s="3"/>
    </row>
    <row r="805" customFormat="false" ht="15.75" hidden="false" customHeight="false" outlineLevel="0" collapsed="false">
      <c r="A805" s="3"/>
      <c r="B805" s="3"/>
      <c r="C805" s="4"/>
      <c r="D805" s="4"/>
      <c r="E805" s="5"/>
      <c r="F805" s="6"/>
      <c r="N805" s="7"/>
      <c r="W805" s="4"/>
      <c r="X805" s="4"/>
      <c r="Z805" s="7"/>
      <c r="AA805" s="4"/>
      <c r="AB805" s="3"/>
      <c r="AC805" s="3"/>
      <c r="AD805" s="3"/>
      <c r="AE805" s="3"/>
      <c r="AF805" s="3"/>
      <c r="AG805" s="3"/>
    </row>
    <row r="806" customFormat="false" ht="15.75" hidden="false" customHeight="false" outlineLevel="0" collapsed="false">
      <c r="A806" s="3"/>
      <c r="B806" s="3"/>
      <c r="C806" s="4"/>
      <c r="D806" s="4"/>
      <c r="E806" s="5"/>
      <c r="F806" s="6"/>
      <c r="N806" s="7"/>
      <c r="W806" s="4"/>
      <c r="X806" s="4"/>
      <c r="Z806" s="7"/>
      <c r="AA806" s="4"/>
      <c r="AB806" s="3"/>
      <c r="AC806" s="3"/>
      <c r="AD806" s="3"/>
      <c r="AE806" s="3"/>
      <c r="AF806" s="3"/>
      <c r="AG806" s="3"/>
    </row>
    <row r="807" customFormat="false" ht="15.75" hidden="false" customHeight="false" outlineLevel="0" collapsed="false">
      <c r="A807" s="3"/>
      <c r="B807" s="3"/>
      <c r="C807" s="4"/>
      <c r="D807" s="4"/>
      <c r="E807" s="5"/>
      <c r="F807" s="6"/>
      <c r="N807" s="7"/>
      <c r="W807" s="4"/>
      <c r="X807" s="4"/>
      <c r="Z807" s="7"/>
      <c r="AA807" s="4"/>
      <c r="AB807" s="3"/>
      <c r="AC807" s="3"/>
      <c r="AD807" s="3"/>
      <c r="AE807" s="3"/>
      <c r="AF807" s="3"/>
      <c r="AG807" s="3"/>
    </row>
    <row r="808" customFormat="false" ht="15.75" hidden="false" customHeight="false" outlineLevel="0" collapsed="false">
      <c r="A808" s="3"/>
      <c r="B808" s="3"/>
      <c r="C808" s="4"/>
      <c r="D808" s="4"/>
      <c r="E808" s="5"/>
      <c r="F808" s="6"/>
      <c r="N808" s="7"/>
      <c r="W808" s="4"/>
      <c r="X808" s="4"/>
      <c r="Z808" s="7"/>
      <c r="AA808" s="4"/>
      <c r="AB808" s="3"/>
      <c r="AC808" s="3"/>
      <c r="AD808" s="3"/>
      <c r="AE808" s="3"/>
      <c r="AF808" s="3"/>
      <c r="AG808" s="3"/>
    </row>
    <row r="809" customFormat="false" ht="15.75" hidden="false" customHeight="false" outlineLevel="0" collapsed="false">
      <c r="A809" s="3"/>
      <c r="B809" s="3"/>
      <c r="C809" s="4"/>
      <c r="D809" s="4"/>
      <c r="E809" s="5"/>
      <c r="F809" s="6"/>
      <c r="N809" s="7"/>
      <c r="W809" s="4"/>
      <c r="X809" s="4"/>
      <c r="Z809" s="7"/>
      <c r="AA809" s="4"/>
      <c r="AB809" s="3"/>
      <c r="AC809" s="3"/>
      <c r="AD809" s="3"/>
      <c r="AE809" s="3"/>
      <c r="AF809" s="3"/>
      <c r="AG809" s="3"/>
    </row>
    <row r="810" customFormat="false" ht="15.75" hidden="false" customHeight="false" outlineLevel="0" collapsed="false">
      <c r="A810" s="3"/>
      <c r="B810" s="3"/>
      <c r="C810" s="4"/>
      <c r="D810" s="4"/>
      <c r="E810" s="5"/>
      <c r="F810" s="6"/>
      <c r="N810" s="7"/>
      <c r="W810" s="4"/>
      <c r="X810" s="4"/>
      <c r="Z810" s="7"/>
      <c r="AA810" s="4"/>
      <c r="AB810" s="3"/>
      <c r="AC810" s="3"/>
      <c r="AD810" s="3"/>
      <c r="AE810" s="3"/>
      <c r="AF810" s="3"/>
      <c r="AG810" s="3"/>
    </row>
    <row r="811" customFormat="false" ht="15.75" hidden="false" customHeight="false" outlineLevel="0" collapsed="false">
      <c r="A811" s="3"/>
      <c r="B811" s="3"/>
      <c r="C811" s="4"/>
      <c r="D811" s="4"/>
      <c r="E811" s="5"/>
      <c r="F811" s="6"/>
      <c r="N811" s="7"/>
      <c r="W811" s="4"/>
      <c r="X811" s="4"/>
      <c r="Z811" s="7"/>
      <c r="AA811" s="4"/>
      <c r="AB811" s="3"/>
      <c r="AC811" s="3"/>
      <c r="AD811" s="3"/>
      <c r="AE811" s="3"/>
      <c r="AF811" s="3"/>
      <c r="AG811" s="3"/>
    </row>
    <row r="812" customFormat="false" ht="15.75" hidden="false" customHeight="false" outlineLevel="0" collapsed="false">
      <c r="A812" s="3"/>
      <c r="B812" s="3"/>
      <c r="C812" s="4"/>
      <c r="D812" s="4"/>
      <c r="E812" s="5"/>
      <c r="F812" s="6"/>
      <c r="N812" s="7"/>
      <c r="W812" s="4"/>
      <c r="X812" s="4"/>
      <c r="Z812" s="7"/>
      <c r="AA812" s="4"/>
      <c r="AB812" s="3"/>
      <c r="AC812" s="3"/>
      <c r="AD812" s="3"/>
      <c r="AE812" s="3"/>
      <c r="AF812" s="3"/>
      <c r="AG812" s="3"/>
    </row>
    <row r="813" customFormat="false" ht="15.75" hidden="false" customHeight="false" outlineLevel="0" collapsed="false">
      <c r="A813" s="3"/>
      <c r="B813" s="3"/>
      <c r="C813" s="4"/>
      <c r="D813" s="4"/>
      <c r="E813" s="5"/>
      <c r="F813" s="6"/>
      <c r="N813" s="7"/>
      <c r="W813" s="4"/>
      <c r="X813" s="4"/>
      <c r="Z813" s="7"/>
      <c r="AA813" s="4"/>
      <c r="AB813" s="3"/>
      <c r="AC813" s="3"/>
      <c r="AD813" s="3"/>
      <c r="AE813" s="3"/>
      <c r="AF813" s="3"/>
      <c r="AG813" s="3"/>
    </row>
    <row r="814" customFormat="false" ht="15.75" hidden="false" customHeight="false" outlineLevel="0" collapsed="false">
      <c r="A814" s="3"/>
      <c r="B814" s="3"/>
      <c r="C814" s="4"/>
      <c r="D814" s="4"/>
      <c r="E814" s="5"/>
      <c r="F814" s="6"/>
      <c r="N814" s="7"/>
      <c r="W814" s="4"/>
      <c r="X814" s="4"/>
      <c r="Z814" s="7"/>
      <c r="AA814" s="4"/>
      <c r="AB814" s="3"/>
      <c r="AC814" s="3"/>
      <c r="AD814" s="3"/>
      <c r="AE814" s="3"/>
      <c r="AF814" s="3"/>
      <c r="AG814" s="3"/>
    </row>
    <row r="815" customFormat="false" ht="15.75" hidden="false" customHeight="false" outlineLevel="0" collapsed="false">
      <c r="A815" s="3"/>
      <c r="B815" s="3"/>
      <c r="C815" s="4"/>
      <c r="D815" s="4"/>
      <c r="E815" s="5"/>
      <c r="F815" s="6"/>
      <c r="N815" s="7"/>
      <c r="W815" s="4"/>
      <c r="X815" s="4"/>
      <c r="Z815" s="7"/>
      <c r="AA815" s="4"/>
      <c r="AB815" s="3"/>
      <c r="AC815" s="3"/>
      <c r="AD815" s="3"/>
      <c r="AE815" s="3"/>
      <c r="AF815" s="3"/>
      <c r="AG815" s="3"/>
    </row>
    <row r="816" customFormat="false" ht="15.75" hidden="false" customHeight="false" outlineLevel="0" collapsed="false">
      <c r="A816" s="3"/>
      <c r="B816" s="3"/>
      <c r="C816" s="4"/>
      <c r="D816" s="4"/>
      <c r="E816" s="5"/>
      <c r="F816" s="6"/>
      <c r="N816" s="7"/>
      <c r="W816" s="4"/>
      <c r="X816" s="4"/>
      <c r="Z816" s="7"/>
      <c r="AA816" s="4"/>
      <c r="AB816" s="3"/>
      <c r="AC816" s="3"/>
      <c r="AD816" s="3"/>
      <c r="AE816" s="3"/>
      <c r="AF816" s="3"/>
      <c r="AG816" s="3"/>
    </row>
    <row r="817" customFormat="false" ht="15.75" hidden="false" customHeight="false" outlineLevel="0" collapsed="false">
      <c r="A817" s="3"/>
      <c r="B817" s="3"/>
      <c r="C817" s="4"/>
      <c r="D817" s="4"/>
      <c r="E817" s="5"/>
      <c r="F817" s="6"/>
      <c r="N817" s="7"/>
      <c r="W817" s="4"/>
      <c r="X817" s="4"/>
      <c r="Z817" s="7"/>
      <c r="AA817" s="4"/>
      <c r="AB817" s="3"/>
      <c r="AC817" s="3"/>
      <c r="AD817" s="3"/>
      <c r="AE817" s="3"/>
      <c r="AF817" s="3"/>
      <c r="AG817" s="3"/>
    </row>
    <row r="818" customFormat="false" ht="15.75" hidden="false" customHeight="false" outlineLevel="0" collapsed="false">
      <c r="A818" s="3"/>
      <c r="B818" s="3"/>
      <c r="C818" s="4"/>
      <c r="D818" s="4"/>
      <c r="E818" s="5"/>
      <c r="F818" s="6"/>
      <c r="N818" s="7"/>
      <c r="W818" s="4"/>
      <c r="X818" s="4"/>
      <c r="Z818" s="7"/>
      <c r="AA818" s="4"/>
      <c r="AB818" s="3"/>
      <c r="AC818" s="3"/>
      <c r="AD818" s="3"/>
      <c r="AE818" s="3"/>
      <c r="AF818" s="3"/>
      <c r="AG818" s="3"/>
    </row>
    <row r="819" customFormat="false" ht="15.75" hidden="false" customHeight="false" outlineLevel="0" collapsed="false">
      <c r="A819" s="3"/>
      <c r="B819" s="3"/>
      <c r="C819" s="4"/>
      <c r="D819" s="4"/>
      <c r="E819" s="5"/>
      <c r="F819" s="6"/>
      <c r="N819" s="7"/>
      <c r="W819" s="4"/>
      <c r="X819" s="4"/>
      <c r="Z819" s="7"/>
      <c r="AA819" s="4"/>
      <c r="AB819" s="3"/>
      <c r="AC819" s="3"/>
      <c r="AD819" s="3"/>
      <c r="AE819" s="3"/>
      <c r="AF819" s="3"/>
      <c r="AG819" s="3"/>
    </row>
    <row r="820" customFormat="false" ht="15.75" hidden="false" customHeight="false" outlineLevel="0" collapsed="false">
      <c r="A820" s="3"/>
      <c r="B820" s="3"/>
      <c r="C820" s="4"/>
      <c r="D820" s="4"/>
      <c r="E820" s="5"/>
      <c r="F820" s="6"/>
      <c r="N820" s="7"/>
      <c r="W820" s="4"/>
      <c r="X820" s="4"/>
      <c r="Z820" s="7"/>
      <c r="AA820" s="4"/>
      <c r="AB820" s="3"/>
      <c r="AC820" s="3"/>
      <c r="AD820" s="3"/>
      <c r="AE820" s="3"/>
      <c r="AF820" s="3"/>
      <c r="AG820" s="3"/>
    </row>
    <row r="821" customFormat="false" ht="15.75" hidden="false" customHeight="false" outlineLevel="0" collapsed="false">
      <c r="A821" s="3"/>
      <c r="B821" s="3"/>
      <c r="C821" s="4"/>
      <c r="D821" s="4"/>
      <c r="E821" s="5"/>
      <c r="F821" s="6"/>
      <c r="N821" s="7"/>
      <c r="W821" s="4"/>
      <c r="X821" s="4"/>
      <c r="Z821" s="7"/>
      <c r="AA821" s="4"/>
      <c r="AB821" s="3"/>
      <c r="AC821" s="3"/>
      <c r="AD821" s="3"/>
      <c r="AE821" s="3"/>
      <c r="AF821" s="3"/>
      <c r="AG821" s="3"/>
    </row>
    <row r="822" customFormat="false" ht="15.75" hidden="false" customHeight="false" outlineLevel="0" collapsed="false">
      <c r="A822" s="3"/>
      <c r="B822" s="3"/>
      <c r="C822" s="4"/>
      <c r="D822" s="4"/>
      <c r="E822" s="5"/>
      <c r="F822" s="6"/>
      <c r="N822" s="7"/>
      <c r="W822" s="4"/>
      <c r="X822" s="4"/>
      <c r="Z822" s="7"/>
      <c r="AA822" s="4"/>
      <c r="AB822" s="3"/>
      <c r="AC822" s="3"/>
      <c r="AD822" s="3"/>
      <c r="AE822" s="3"/>
      <c r="AF822" s="3"/>
      <c r="AG822" s="3"/>
    </row>
    <row r="823" customFormat="false" ht="15.75" hidden="false" customHeight="false" outlineLevel="0" collapsed="false">
      <c r="A823" s="3"/>
      <c r="B823" s="3"/>
      <c r="C823" s="4"/>
      <c r="D823" s="4"/>
      <c r="E823" s="5"/>
      <c r="F823" s="6"/>
      <c r="N823" s="7"/>
      <c r="W823" s="4"/>
      <c r="X823" s="4"/>
      <c r="Z823" s="7"/>
      <c r="AA823" s="4"/>
      <c r="AB823" s="3"/>
      <c r="AC823" s="3"/>
      <c r="AD823" s="3"/>
      <c r="AE823" s="3"/>
      <c r="AF823" s="3"/>
      <c r="AG823" s="3"/>
    </row>
    <row r="824" customFormat="false" ht="15.75" hidden="false" customHeight="false" outlineLevel="0" collapsed="false">
      <c r="A824" s="3"/>
      <c r="B824" s="3"/>
      <c r="C824" s="4"/>
      <c r="D824" s="4"/>
      <c r="E824" s="5"/>
      <c r="F824" s="6"/>
      <c r="N824" s="7"/>
      <c r="W824" s="4"/>
      <c r="X824" s="4"/>
      <c r="Z824" s="7"/>
      <c r="AA824" s="4"/>
      <c r="AB824" s="3"/>
      <c r="AC824" s="3"/>
      <c r="AD824" s="3"/>
      <c r="AE824" s="3"/>
      <c r="AF824" s="3"/>
      <c r="AG824" s="3"/>
    </row>
    <row r="825" customFormat="false" ht="15.75" hidden="false" customHeight="false" outlineLevel="0" collapsed="false">
      <c r="A825" s="3"/>
      <c r="B825" s="3"/>
      <c r="C825" s="4"/>
      <c r="D825" s="4"/>
      <c r="E825" s="5"/>
      <c r="F825" s="6"/>
      <c r="N825" s="7"/>
      <c r="W825" s="4"/>
      <c r="X825" s="4"/>
      <c r="Z825" s="7"/>
      <c r="AA825" s="4"/>
      <c r="AB825" s="3"/>
      <c r="AC825" s="3"/>
      <c r="AD825" s="3"/>
      <c r="AE825" s="3"/>
      <c r="AF825" s="3"/>
      <c r="AG825" s="3"/>
    </row>
    <row r="826" customFormat="false" ht="15.75" hidden="false" customHeight="false" outlineLevel="0" collapsed="false">
      <c r="A826" s="3"/>
      <c r="B826" s="3"/>
      <c r="C826" s="4"/>
      <c r="D826" s="4"/>
      <c r="E826" s="5"/>
      <c r="F826" s="6"/>
      <c r="N826" s="7"/>
      <c r="W826" s="4"/>
      <c r="X826" s="4"/>
      <c r="Z826" s="7"/>
      <c r="AA826" s="4"/>
      <c r="AB826" s="3"/>
      <c r="AC826" s="3"/>
      <c r="AD826" s="3"/>
      <c r="AE826" s="3"/>
      <c r="AF826" s="3"/>
      <c r="AG826" s="3"/>
    </row>
    <row r="827" customFormat="false" ht="15.75" hidden="false" customHeight="false" outlineLevel="0" collapsed="false">
      <c r="A827" s="3"/>
      <c r="B827" s="3"/>
      <c r="C827" s="4"/>
      <c r="D827" s="4"/>
      <c r="E827" s="5"/>
      <c r="F827" s="6"/>
      <c r="N827" s="7"/>
      <c r="W827" s="4"/>
      <c r="X827" s="4"/>
      <c r="Z827" s="7"/>
      <c r="AA827" s="4"/>
      <c r="AB827" s="3"/>
      <c r="AC827" s="3"/>
      <c r="AD827" s="3"/>
      <c r="AE827" s="3"/>
      <c r="AF827" s="3"/>
      <c r="AG827" s="3"/>
    </row>
    <row r="828" customFormat="false" ht="15.75" hidden="false" customHeight="false" outlineLevel="0" collapsed="false">
      <c r="A828" s="3"/>
      <c r="B828" s="3"/>
      <c r="C828" s="4"/>
      <c r="D828" s="4"/>
      <c r="E828" s="5"/>
      <c r="F828" s="6"/>
      <c r="N828" s="7"/>
      <c r="W828" s="4"/>
      <c r="X828" s="4"/>
      <c r="Z828" s="7"/>
      <c r="AA828" s="4"/>
      <c r="AB828" s="3"/>
      <c r="AC828" s="3"/>
      <c r="AD828" s="3"/>
      <c r="AE828" s="3"/>
      <c r="AF828" s="3"/>
      <c r="AG828" s="3"/>
    </row>
    <row r="829" customFormat="false" ht="15.75" hidden="false" customHeight="false" outlineLevel="0" collapsed="false">
      <c r="A829" s="3"/>
      <c r="B829" s="3"/>
      <c r="C829" s="4"/>
      <c r="D829" s="4"/>
      <c r="E829" s="5"/>
      <c r="F829" s="6"/>
      <c r="N829" s="7"/>
      <c r="W829" s="4"/>
      <c r="X829" s="4"/>
      <c r="Z829" s="7"/>
      <c r="AA829" s="4"/>
      <c r="AB829" s="3"/>
      <c r="AC829" s="3"/>
      <c r="AD829" s="3"/>
      <c r="AE829" s="3"/>
      <c r="AF829" s="3"/>
      <c r="AG829" s="3"/>
    </row>
    <row r="830" customFormat="false" ht="15.75" hidden="false" customHeight="false" outlineLevel="0" collapsed="false">
      <c r="A830" s="3"/>
      <c r="B830" s="3"/>
      <c r="C830" s="4"/>
      <c r="D830" s="4"/>
      <c r="E830" s="5"/>
      <c r="F830" s="6"/>
      <c r="N830" s="7"/>
      <c r="W830" s="4"/>
      <c r="X830" s="4"/>
      <c r="Z830" s="7"/>
      <c r="AA830" s="4"/>
      <c r="AB830" s="3"/>
      <c r="AC830" s="3"/>
      <c r="AD830" s="3"/>
      <c r="AE830" s="3"/>
      <c r="AF830" s="3"/>
      <c r="AG830" s="3"/>
    </row>
    <row r="831" customFormat="false" ht="15.75" hidden="false" customHeight="false" outlineLevel="0" collapsed="false">
      <c r="A831" s="3"/>
      <c r="B831" s="3"/>
      <c r="C831" s="4"/>
      <c r="D831" s="4"/>
      <c r="E831" s="5"/>
      <c r="F831" s="6"/>
      <c r="N831" s="7"/>
      <c r="W831" s="4"/>
      <c r="X831" s="4"/>
      <c r="Z831" s="7"/>
      <c r="AA831" s="4"/>
      <c r="AB831" s="3"/>
      <c r="AC831" s="3"/>
      <c r="AD831" s="3"/>
      <c r="AE831" s="3"/>
      <c r="AF831" s="3"/>
      <c r="AG831" s="3"/>
    </row>
    <row r="832" customFormat="false" ht="15.75" hidden="false" customHeight="false" outlineLevel="0" collapsed="false">
      <c r="A832" s="3"/>
      <c r="B832" s="3"/>
      <c r="C832" s="4"/>
      <c r="D832" s="4"/>
      <c r="E832" s="5"/>
      <c r="F832" s="6"/>
      <c r="N832" s="7"/>
      <c r="W832" s="4"/>
      <c r="X832" s="4"/>
      <c r="Z832" s="7"/>
      <c r="AA832" s="4"/>
      <c r="AB832" s="3"/>
      <c r="AC832" s="3"/>
      <c r="AD832" s="3"/>
      <c r="AE832" s="3"/>
      <c r="AF832" s="3"/>
      <c r="AG832" s="3"/>
    </row>
    <row r="833" customFormat="false" ht="15.75" hidden="false" customHeight="false" outlineLevel="0" collapsed="false">
      <c r="A833" s="3"/>
      <c r="B833" s="3"/>
      <c r="C833" s="4"/>
      <c r="D833" s="4"/>
      <c r="E833" s="5"/>
      <c r="F833" s="6"/>
      <c r="N833" s="7"/>
      <c r="W833" s="4"/>
      <c r="X833" s="4"/>
      <c r="Z833" s="7"/>
      <c r="AA833" s="4"/>
      <c r="AB833" s="3"/>
      <c r="AC833" s="3"/>
      <c r="AD833" s="3"/>
      <c r="AE833" s="3"/>
      <c r="AF833" s="3"/>
      <c r="AG833" s="3"/>
    </row>
    <row r="834" customFormat="false" ht="15.75" hidden="false" customHeight="false" outlineLevel="0" collapsed="false">
      <c r="A834" s="3"/>
      <c r="B834" s="3"/>
      <c r="C834" s="4"/>
      <c r="D834" s="4"/>
      <c r="E834" s="5"/>
      <c r="F834" s="6"/>
      <c r="N834" s="7"/>
      <c r="W834" s="4"/>
      <c r="X834" s="4"/>
      <c r="Z834" s="7"/>
      <c r="AA834" s="4"/>
      <c r="AB834" s="3"/>
      <c r="AC834" s="3"/>
      <c r="AD834" s="3"/>
      <c r="AE834" s="3"/>
      <c r="AF834" s="3"/>
      <c r="AG834" s="3"/>
    </row>
    <row r="835" customFormat="false" ht="15.75" hidden="false" customHeight="false" outlineLevel="0" collapsed="false">
      <c r="A835" s="3"/>
      <c r="B835" s="3"/>
      <c r="C835" s="4"/>
      <c r="D835" s="4"/>
      <c r="E835" s="5"/>
      <c r="F835" s="6"/>
      <c r="N835" s="7"/>
      <c r="W835" s="4"/>
      <c r="X835" s="4"/>
      <c r="Z835" s="7"/>
      <c r="AA835" s="4"/>
      <c r="AB835" s="3"/>
      <c r="AC835" s="3"/>
      <c r="AD835" s="3"/>
      <c r="AE835" s="3"/>
      <c r="AF835" s="3"/>
      <c r="AG835" s="3"/>
    </row>
    <row r="836" customFormat="false" ht="15.75" hidden="false" customHeight="false" outlineLevel="0" collapsed="false">
      <c r="A836" s="3"/>
      <c r="B836" s="3"/>
      <c r="C836" s="4"/>
      <c r="D836" s="4"/>
      <c r="E836" s="5"/>
      <c r="F836" s="6"/>
      <c r="N836" s="7"/>
      <c r="W836" s="4"/>
      <c r="X836" s="4"/>
      <c r="Z836" s="7"/>
      <c r="AA836" s="4"/>
      <c r="AB836" s="3"/>
      <c r="AC836" s="3"/>
      <c r="AD836" s="3"/>
      <c r="AE836" s="3"/>
      <c r="AF836" s="3"/>
      <c r="AG836" s="3"/>
    </row>
    <row r="837" customFormat="false" ht="15.75" hidden="false" customHeight="false" outlineLevel="0" collapsed="false">
      <c r="A837" s="3"/>
      <c r="B837" s="3"/>
      <c r="C837" s="4"/>
      <c r="D837" s="4"/>
      <c r="E837" s="5"/>
      <c r="F837" s="6"/>
      <c r="N837" s="7"/>
      <c r="W837" s="4"/>
      <c r="X837" s="4"/>
      <c r="Z837" s="7"/>
      <c r="AA837" s="4"/>
      <c r="AB837" s="3"/>
      <c r="AC837" s="3"/>
      <c r="AD837" s="3"/>
      <c r="AE837" s="3"/>
      <c r="AF837" s="3"/>
      <c r="AG837" s="3"/>
    </row>
    <row r="838" customFormat="false" ht="15.75" hidden="false" customHeight="false" outlineLevel="0" collapsed="false">
      <c r="A838" s="3"/>
      <c r="B838" s="3"/>
      <c r="C838" s="4"/>
      <c r="D838" s="4"/>
      <c r="E838" s="5"/>
      <c r="F838" s="6"/>
      <c r="N838" s="7"/>
      <c r="W838" s="4"/>
      <c r="X838" s="4"/>
      <c r="Z838" s="7"/>
      <c r="AA838" s="4"/>
      <c r="AB838" s="3"/>
      <c r="AC838" s="3"/>
      <c r="AD838" s="3"/>
      <c r="AE838" s="3"/>
      <c r="AF838" s="3"/>
      <c r="AG838" s="3"/>
    </row>
    <row r="839" customFormat="false" ht="15.75" hidden="false" customHeight="false" outlineLevel="0" collapsed="false">
      <c r="A839" s="3"/>
      <c r="B839" s="3"/>
      <c r="C839" s="4"/>
      <c r="D839" s="4"/>
      <c r="E839" s="5"/>
      <c r="F839" s="6"/>
      <c r="N839" s="7"/>
      <c r="W839" s="4"/>
      <c r="X839" s="4"/>
      <c r="Z839" s="7"/>
      <c r="AA839" s="4"/>
      <c r="AB839" s="3"/>
      <c r="AC839" s="3"/>
      <c r="AD839" s="3"/>
      <c r="AE839" s="3"/>
      <c r="AF839" s="3"/>
      <c r="AG839" s="3"/>
    </row>
    <row r="840" customFormat="false" ht="15.75" hidden="false" customHeight="false" outlineLevel="0" collapsed="false">
      <c r="A840" s="3"/>
      <c r="B840" s="3"/>
      <c r="C840" s="4"/>
      <c r="D840" s="4"/>
      <c r="E840" s="5"/>
      <c r="F840" s="6"/>
      <c r="N840" s="7"/>
      <c r="W840" s="4"/>
      <c r="X840" s="4"/>
      <c r="Z840" s="7"/>
      <c r="AA840" s="4"/>
      <c r="AB840" s="3"/>
      <c r="AC840" s="3"/>
      <c r="AD840" s="3"/>
      <c r="AE840" s="3"/>
      <c r="AF840" s="3"/>
      <c r="AG840" s="3"/>
    </row>
    <row r="841" customFormat="false" ht="15.75" hidden="false" customHeight="false" outlineLevel="0" collapsed="false">
      <c r="A841" s="3"/>
      <c r="B841" s="3"/>
      <c r="C841" s="4"/>
      <c r="D841" s="4"/>
      <c r="E841" s="5"/>
      <c r="F841" s="6"/>
      <c r="N841" s="7"/>
      <c r="W841" s="4"/>
      <c r="X841" s="4"/>
      <c r="Z841" s="7"/>
      <c r="AA841" s="4"/>
      <c r="AB841" s="3"/>
      <c r="AC841" s="3"/>
      <c r="AD841" s="3"/>
      <c r="AE841" s="3"/>
      <c r="AF841" s="3"/>
      <c r="AG841" s="3"/>
    </row>
    <row r="842" customFormat="false" ht="15.75" hidden="false" customHeight="false" outlineLevel="0" collapsed="false">
      <c r="A842" s="3"/>
      <c r="B842" s="3"/>
      <c r="C842" s="4"/>
      <c r="D842" s="4"/>
      <c r="E842" s="5"/>
      <c r="F842" s="6"/>
      <c r="N842" s="7"/>
      <c r="W842" s="4"/>
      <c r="X842" s="4"/>
      <c r="Z842" s="7"/>
      <c r="AA842" s="4"/>
      <c r="AB842" s="3"/>
      <c r="AC842" s="3"/>
      <c r="AD842" s="3"/>
      <c r="AE842" s="3"/>
      <c r="AF842" s="3"/>
      <c r="AG842" s="3"/>
    </row>
    <row r="843" customFormat="false" ht="15.75" hidden="false" customHeight="false" outlineLevel="0" collapsed="false">
      <c r="A843" s="3"/>
      <c r="B843" s="3"/>
      <c r="C843" s="4"/>
      <c r="D843" s="4"/>
      <c r="E843" s="5"/>
      <c r="F843" s="6"/>
      <c r="N843" s="7"/>
      <c r="W843" s="4"/>
      <c r="X843" s="4"/>
      <c r="Z843" s="7"/>
      <c r="AA843" s="4"/>
      <c r="AB843" s="3"/>
      <c r="AC843" s="3"/>
      <c r="AD843" s="3"/>
      <c r="AE843" s="3"/>
      <c r="AF843" s="3"/>
      <c r="AG843" s="3"/>
    </row>
    <row r="844" customFormat="false" ht="15.75" hidden="false" customHeight="false" outlineLevel="0" collapsed="false">
      <c r="A844" s="3"/>
      <c r="B844" s="3"/>
      <c r="C844" s="4"/>
      <c r="D844" s="4"/>
      <c r="E844" s="5"/>
      <c r="F844" s="6"/>
      <c r="N844" s="7"/>
      <c r="W844" s="4"/>
      <c r="X844" s="4"/>
      <c r="Z844" s="7"/>
      <c r="AA844" s="4"/>
      <c r="AB844" s="3"/>
      <c r="AC844" s="3"/>
      <c r="AD844" s="3"/>
      <c r="AE844" s="3"/>
      <c r="AF844" s="3"/>
      <c r="AG844" s="3"/>
    </row>
    <row r="845" customFormat="false" ht="15.75" hidden="false" customHeight="false" outlineLevel="0" collapsed="false">
      <c r="A845" s="3"/>
      <c r="B845" s="3"/>
      <c r="C845" s="4"/>
      <c r="D845" s="4"/>
      <c r="E845" s="5"/>
      <c r="F845" s="6"/>
      <c r="N845" s="7"/>
      <c r="W845" s="4"/>
      <c r="X845" s="4"/>
      <c r="Z845" s="7"/>
      <c r="AA845" s="4"/>
      <c r="AB845" s="3"/>
      <c r="AC845" s="3"/>
      <c r="AD845" s="3"/>
      <c r="AE845" s="3"/>
      <c r="AF845" s="3"/>
      <c r="AG845" s="3"/>
    </row>
    <row r="846" customFormat="false" ht="15.75" hidden="false" customHeight="false" outlineLevel="0" collapsed="false">
      <c r="A846" s="3"/>
      <c r="B846" s="3"/>
      <c r="C846" s="4"/>
      <c r="D846" s="4"/>
      <c r="E846" s="5"/>
      <c r="F846" s="6"/>
      <c r="N846" s="7"/>
      <c r="W846" s="4"/>
      <c r="X846" s="4"/>
      <c r="Z846" s="7"/>
      <c r="AA846" s="4"/>
      <c r="AB846" s="3"/>
      <c r="AC846" s="3"/>
      <c r="AD846" s="3"/>
      <c r="AE846" s="3"/>
      <c r="AF846" s="3"/>
      <c r="AG846" s="3"/>
    </row>
    <row r="847" customFormat="false" ht="15.75" hidden="false" customHeight="false" outlineLevel="0" collapsed="false">
      <c r="A847" s="3"/>
      <c r="B847" s="3"/>
      <c r="C847" s="4"/>
      <c r="D847" s="4"/>
      <c r="E847" s="5"/>
      <c r="F847" s="6"/>
      <c r="N847" s="7"/>
      <c r="W847" s="4"/>
      <c r="X847" s="4"/>
      <c r="Z847" s="7"/>
      <c r="AA847" s="4"/>
      <c r="AB847" s="3"/>
      <c r="AC847" s="3"/>
      <c r="AD847" s="3"/>
      <c r="AE847" s="3"/>
      <c r="AF847" s="3"/>
      <c r="AG847" s="3"/>
    </row>
    <row r="848" customFormat="false" ht="15.75" hidden="false" customHeight="false" outlineLevel="0" collapsed="false">
      <c r="A848" s="3"/>
      <c r="B848" s="3"/>
      <c r="C848" s="4"/>
      <c r="D848" s="4"/>
      <c r="E848" s="5"/>
      <c r="F848" s="6"/>
      <c r="N848" s="7"/>
      <c r="W848" s="4"/>
      <c r="X848" s="4"/>
      <c r="Z848" s="7"/>
      <c r="AA848" s="4"/>
      <c r="AB848" s="3"/>
      <c r="AC848" s="3"/>
      <c r="AD848" s="3"/>
      <c r="AE848" s="3"/>
      <c r="AF848" s="3"/>
      <c r="AG848" s="3"/>
    </row>
    <row r="849" customFormat="false" ht="15.75" hidden="false" customHeight="false" outlineLevel="0" collapsed="false">
      <c r="A849" s="3"/>
      <c r="B849" s="3"/>
      <c r="C849" s="4"/>
      <c r="D849" s="4"/>
      <c r="E849" s="5"/>
      <c r="F849" s="6"/>
      <c r="N849" s="7"/>
      <c r="W849" s="4"/>
      <c r="X849" s="4"/>
      <c r="Z849" s="7"/>
      <c r="AA849" s="4"/>
      <c r="AB849" s="3"/>
      <c r="AC849" s="3"/>
      <c r="AD849" s="3"/>
      <c r="AE849" s="3"/>
      <c r="AF849" s="3"/>
      <c r="AG849" s="3"/>
    </row>
    <row r="850" customFormat="false" ht="15.75" hidden="false" customHeight="false" outlineLevel="0" collapsed="false">
      <c r="A850" s="3"/>
      <c r="B850" s="3"/>
      <c r="C850" s="4"/>
      <c r="D850" s="4"/>
      <c r="E850" s="5"/>
      <c r="F850" s="6"/>
      <c r="N850" s="7"/>
      <c r="W850" s="4"/>
      <c r="X850" s="4"/>
      <c r="Z850" s="7"/>
      <c r="AA850" s="4"/>
      <c r="AB850" s="3"/>
      <c r="AC850" s="3"/>
      <c r="AD850" s="3"/>
      <c r="AE850" s="3"/>
      <c r="AF850" s="3"/>
      <c r="AG850" s="3"/>
    </row>
    <row r="851" customFormat="false" ht="15.75" hidden="false" customHeight="false" outlineLevel="0" collapsed="false">
      <c r="A851" s="3"/>
      <c r="B851" s="3"/>
      <c r="C851" s="4"/>
      <c r="D851" s="4"/>
      <c r="E851" s="5"/>
      <c r="F851" s="6"/>
      <c r="N851" s="7"/>
      <c r="W851" s="4"/>
      <c r="X851" s="4"/>
      <c r="Z851" s="7"/>
      <c r="AA851" s="4"/>
      <c r="AB851" s="3"/>
      <c r="AC851" s="3"/>
      <c r="AD851" s="3"/>
      <c r="AE851" s="3"/>
      <c r="AF851" s="3"/>
      <c r="AG851" s="3"/>
    </row>
    <row r="852" customFormat="false" ht="15.75" hidden="false" customHeight="false" outlineLevel="0" collapsed="false">
      <c r="A852" s="3"/>
      <c r="B852" s="3"/>
      <c r="C852" s="4"/>
      <c r="D852" s="4"/>
      <c r="E852" s="5"/>
      <c r="F852" s="6"/>
      <c r="N852" s="7"/>
      <c r="W852" s="4"/>
      <c r="X852" s="4"/>
      <c r="Z852" s="7"/>
      <c r="AA852" s="4"/>
      <c r="AB852" s="3"/>
      <c r="AC852" s="3"/>
      <c r="AD852" s="3"/>
      <c r="AE852" s="3"/>
      <c r="AF852" s="3"/>
      <c r="AG852" s="3"/>
    </row>
    <row r="853" customFormat="false" ht="15.75" hidden="false" customHeight="false" outlineLevel="0" collapsed="false">
      <c r="A853" s="3"/>
      <c r="B853" s="3"/>
      <c r="C853" s="4"/>
      <c r="D853" s="4"/>
      <c r="E853" s="5"/>
      <c r="F853" s="6"/>
      <c r="N853" s="7"/>
      <c r="W853" s="4"/>
      <c r="X853" s="4"/>
      <c r="Z853" s="7"/>
      <c r="AA853" s="4"/>
      <c r="AB853" s="3"/>
      <c r="AC853" s="3"/>
      <c r="AD853" s="3"/>
      <c r="AE853" s="3"/>
      <c r="AF853" s="3"/>
      <c r="AG853" s="3"/>
    </row>
    <row r="854" customFormat="false" ht="15.75" hidden="false" customHeight="false" outlineLevel="0" collapsed="false">
      <c r="A854" s="3"/>
      <c r="B854" s="3"/>
      <c r="C854" s="4"/>
      <c r="D854" s="4"/>
      <c r="E854" s="5"/>
      <c r="F854" s="6"/>
      <c r="N854" s="7"/>
      <c r="W854" s="4"/>
      <c r="X854" s="4"/>
      <c r="Z854" s="7"/>
      <c r="AA854" s="4"/>
      <c r="AB854" s="3"/>
      <c r="AC854" s="3"/>
      <c r="AD854" s="3"/>
      <c r="AE854" s="3"/>
      <c r="AF854" s="3"/>
      <c r="AG854" s="3"/>
    </row>
    <row r="855" customFormat="false" ht="15.75" hidden="false" customHeight="false" outlineLevel="0" collapsed="false">
      <c r="A855" s="3"/>
      <c r="B855" s="3"/>
      <c r="C855" s="4"/>
      <c r="D855" s="4"/>
      <c r="E855" s="5"/>
      <c r="F855" s="6"/>
      <c r="N855" s="7"/>
      <c r="W855" s="4"/>
      <c r="X855" s="4"/>
      <c r="Z855" s="7"/>
      <c r="AA855" s="4"/>
      <c r="AB855" s="3"/>
      <c r="AC855" s="3"/>
      <c r="AD855" s="3"/>
      <c r="AE855" s="3"/>
      <c r="AF855" s="3"/>
      <c r="AG855" s="3"/>
    </row>
    <row r="856" customFormat="false" ht="15.75" hidden="false" customHeight="false" outlineLevel="0" collapsed="false">
      <c r="A856" s="3"/>
      <c r="B856" s="3"/>
      <c r="C856" s="4"/>
      <c r="D856" s="4"/>
      <c r="E856" s="5"/>
      <c r="F856" s="6"/>
      <c r="N856" s="7"/>
      <c r="W856" s="4"/>
      <c r="X856" s="4"/>
      <c r="Z856" s="7"/>
      <c r="AA856" s="4"/>
      <c r="AB856" s="3"/>
      <c r="AC856" s="3"/>
      <c r="AD856" s="3"/>
      <c r="AE856" s="3"/>
      <c r="AF856" s="3"/>
      <c r="AG856" s="3"/>
    </row>
    <row r="857" customFormat="false" ht="15.75" hidden="false" customHeight="false" outlineLevel="0" collapsed="false">
      <c r="A857" s="3"/>
      <c r="B857" s="3"/>
      <c r="C857" s="4"/>
      <c r="D857" s="4"/>
      <c r="E857" s="5"/>
      <c r="F857" s="6"/>
      <c r="N857" s="7"/>
      <c r="W857" s="4"/>
      <c r="X857" s="4"/>
      <c r="Z857" s="7"/>
      <c r="AA857" s="4"/>
      <c r="AB857" s="3"/>
      <c r="AC857" s="3"/>
      <c r="AD857" s="3"/>
      <c r="AE857" s="3"/>
      <c r="AF857" s="3"/>
      <c r="AG857" s="3"/>
    </row>
    <row r="858" customFormat="false" ht="15.75" hidden="false" customHeight="false" outlineLevel="0" collapsed="false">
      <c r="A858" s="3"/>
      <c r="B858" s="3"/>
      <c r="C858" s="4"/>
      <c r="D858" s="4"/>
      <c r="E858" s="5"/>
      <c r="F858" s="6"/>
      <c r="N858" s="7"/>
      <c r="W858" s="4"/>
      <c r="X858" s="4"/>
      <c r="Z858" s="7"/>
      <c r="AA858" s="4"/>
      <c r="AB858" s="3"/>
      <c r="AC858" s="3"/>
      <c r="AD858" s="3"/>
      <c r="AE858" s="3"/>
      <c r="AF858" s="3"/>
      <c r="AG858" s="3"/>
    </row>
    <row r="859" customFormat="false" ht="15.75" hidden="false" customHeight="false" outlineLevel="0" collapsed="false">
      <c r="A859" s="3"/>
      <c r="B859" s="3"/>
      <c r="C859" s="4"/>
      <c r="D859" s="4"/>
      <c r="E859" s="5"/>
      <c r="F859" s="6"/>
      <c r="N859" s="7"/>
      <c r="W859" s="4"/>
      <c r="X859" s="4"/>
      <c r="Z859" s="7"/>
      <c r="AA859" s="4"/>
      <c r="AB859" s="3"/>
      <c r="AC859" s="3"/>
      <c r="AD859" s="3"/>
      <c r="AE859" s="3"/>
      <c r="AF859" s="3"/>
      <c r="AG859" s="3"/>
    </row>
    <row r="860" customFormat="false" ht="15.75" hidden="false" customHeight="false" outlineLevel="0" collapsed="false">
      <c r="A860" s="3"/>
      <c r="B860" s="3"/>
      <c r="C860" s="4"/>
      <c r="D860" s="4"/>
      <c r="E860" s="5"/>
      <c r="F860" s="6"/>
      <c r="N860" s="7"/>
      <c r="W860" s="4"/>
      <c r="X860" s="4"/>
      <c r="Z860" s="7"/>
      <c r="AA860" s="4"/>
      <c r="AB860" s="3"/>
      <c r="AC860" s="3"/>
      <c r="AD860" s="3"/>
      <c r="AE860" s="3"/>
      <c r="AF860" s="3"/>
      <c r="AG860" s="3"/>
    </row>
    <row r="861" customFormat="false" ht="15.75" hidden="false" customHeight="false" outlineLevel="0" collapsed="false">
      <c r="A861" s="3"/>
      <c r="B861" s="3"/>
      <c r="C861" s="4"/>
      <c r="D861" s="4"/>
      <c r="E861" s="5"/>
      <c r="F861" s="6"/>
      <c r="N861" s="7"/>
      <c r="W861" s="4"/>
      <c r="X861" s="4"/>
      <c r="Z861" s="7"/>
      <c r="AA861" s="4"/>
      <c r="AB861" s="3"/>
      <c r="AC861" s="3"/>
      <c r="AD861" s="3"/>
      <c r="AE861" s="3"/>
      <c r="AF861" s="3"/>
      <c r="AG861" s="3"/>
    </row>
    <row r="862" customFormat="false" ht="15.75" hidden="false" customHeight="false" outlineLevel="0" collapsed="false">
      <c r="A862" s="3"/>
      <c r="B862" s="3"/>
      <c r="C862" s="4"/>
      <c r="D862" s="4"/>
      <c r="E862" s="5"/>
      <c r="F862" s="6"/>
      <c r="N862" s="7"/>
      <c r="W862" s="4"/>
      <c r="X862" s="4"/>
      <c r="Z862" s="7"/>
      <c r="AA862" s="4"/>
      <c r="AB862" s="3"/>
      <c r="AC862" s="3"/>
      <c r="AD862" s="3"/>
      <c r="AE862" s="3"/>
      <c r="AF862" s="3"/>
      <c r="AG862" s="3"/>
    </row>
    <row r="863" customFormat="false" ht="15.75" hidden="false" customHeight="false" outlineLevel="0" collapsed="false">
      <c r="A863" s="3"/>
      <c r="B863" s="3"/>
      <c r="C863" s="4"/>
      <c r="D863" s="4"/>
      <c r="E863" s="5"/>
      <c r="F863" s="6"/>
      <c r="N863" s="7"/>
      <c r="W863" s="4"/>
      <c r="X863" s="4"/>
      <c r="Z863" s="7"/>
      <c r="AA863" s="4"/>
      <c r="AB863" s="3"/>
      <c r="AC863" s="3"/>
      <c r="AD863" s="3"/>
      <c r="AE863" s="3"/>
      <c r="AF863" s="3"/>
      <c r="AG863" s="3"/>
    </row>
    <row r="864" customFormat="false" ht="15.75" hidden="false" customHeight="false" outlineLevel="0" collapsed="false">
      <c r="A864" s="3"/>
      <c r="B864" s="3"/>
      <c r="C864" s="4"/>
      <c r="D864" s="4"/>
      <c r="E864" s="5"/>
      <c r="F864" s="6"/>
      <c r="N864" s="7"/>
      <c r="W864" s="4"/>
      <c r="X864" s="4"/>
      <c r="Z864" s="7"/>
      <c r="AA864" s="4"/>
      <c r="AB864" s="3"/>
      <c r="AC864" s="3"/>
      <c r="AD864" s="3"/>
      <c r="AE864" s="3"/>
      <c r="AF864" s="3"/>
      <c r="AG864" s="3"/>
    </row>
    <row r="865" customFormat="false" ht="15.75" hidden="false" customHeight="false" outlineLevel="0" collapsed="false">
      <c r="A865" s="3"/>
      <c r="B865" s="3"/>
      <c r="C865" s="4"/>
      <c r="D865" s="4"/>
      <c r="E865" s="5"/>
      <c r="F865" s="6"/>
      <c r="N865" s="7"/>
      <c r="W865" s="4"/>
      <c r="X865" s="4"/>
      <c r="Z865" s="7"/>
      <c r="AA865" s="4"/>
      <c r="AB865" s="3"/>
      <c r="AC865" s="3"/>
      <c r="AD865" s="3"/>
      <c r="AE865" s="3"/>
      <c r="AF865" s="3"/>
      <c r="AG865" s="3"/>
    </row>
    <row r="866" customFormat="false" ht="15.75" hidden="false" customHeight="false" outlineLevel="0" collapsed="false">
      <c r="A866" s="3"/>
      <c r="B866" s="3"/>
      <c r="C866" s="4"/>
      <c r="D866" s="4"/>
      <c r="E866" s="5"/>
      <c r="F866" s="6"/>
      <c r="N866" s="7"/>
      <c r="W866" s="4"/>
      <c r="X866" s="4"/>
      <c r="Z866" s="7"/>
      <c r="AA866" s="4"/>
      <c r="AB866" s="3"/>
      <c r="AC866" s="3"/>
      <c r="AD866" s="3"/>
      <c r="AE866" s="3"/>
      <c r="AF866" s="3"/>
      <c r="AG866" s="3"/>
    </row>
    <row r="867" customFormat="false" ht="15.75" hidden="false" customHeight="false" outlineLevel="0" collapsed="false">
      <c r="A867" s="3"/>
      <c r="B867" s="3"/>
      <c r="C867" s="4"/>
      <c r="D867" s="4"/>
      <c r="E867" s="5"/>
      <c r="F867" s="6"/>
      <c r="N867" s="7"/>
      <c r="W867" s="4"/>
      <c r="X867" s="4"/>
      <c r="Z867" s="7"/>
      <c r="AA867" s="4"/>
      <c r="AB867" s="3"/>
      <c r="AC867" s="3"/>
      <c r="AD867" s="3"/>
      <c r="AE867" s="3"/>
      <c r="AF867" s="3"/>
      <c r="AG867" s="3"/>
    </row>
    <row r="868" customFormat="false" ht="15.75" hidden="false" customHeight="false" outlineLevel="0" collapsed="false">
      <c r="A868" s="3"/>
      <c r="B868" s="3"/>
      <c r="C868" s="4"/>
      <c r="D868" s="4"/>
      <c r="E868" s="5"/>
      <c r="F868" s="6"/>
      <c r="N868" s="7"/>
      <c r="W868" s="4"/>
      <c r="X868" s="4"/>
      <c r="Z868" s="7"/>
      <c r="AA868" s="4"/>
      <c r="AB868" s="3"/>
      <c r="AC868" s="3"/>
      <c r="AD868" s="3"/>
      <c r="AE868" s="3"/>
      <c r="AF868" s="3"/>
      <c r="AG868" s="3"/>
    </row>
    <row r="869" customFormat="false" ht="15.75" hidden="false" customHeight="false" outlineLevel="0" collapsed="false">
      <c r="A869" s="3"/>
      <c r="B869" s="3"/>
      <c r="C869" s="4"/>
      <c r="D869" s="4"/>
      <c r="E869" s="5"/>
      <c r="F869" s="6"/>
      <c r="N869" s="7"/>
      <c r="W869" s="4"/>
      <c r="X869" s="4"/>
      <c r="Z869" s="7"/>
      <c r="AA869" s="4"/>
      <c r="AB869" s="3"/>
      <c r="AC869" s="3"/>
      <c r="AD869" s="3"/>
      <c r="AE869" s="3"/>
      <c r="AF869" s="3"/>
      <c r="AG869" s="3"/>
    </row>
    <row r="870" customFormat="false" ht="15.75" hidden="false" customHeight="false" outlineLevel="0" collapsed="false">
      <c r="A870" s="3"/>
      <c r="B870" s="3"/>
      <c r="C870" s="4"/>
      <c r="D870" s="4"/>
      <c r="E870" s="5"/>
      <c r="F870" s="6"/>
      <c r="N870" s="7"/>
      <c r="W870" s="4"/>
      <c r="X870" s="4"/>
      <c r="Z870" s="7"/>
      <c r="AA870" s="4"/>
      <c r="AB870" s="3"/>
      <c r="AC870" s="3"/>
      <c r="AD870" s="3"/>
      <c r="AE870" s="3"/>
      <c r="AF870" s="3"/>
      <c r="AG870" s="3"/>
    </row>
    <row r="871" customFormat="false" ht="15.75" hidden="false" customHeight="false" outlineLevel="0" collapsed="false">
      <c r="A871" s="3"/>
      <c r="B871" s="3"/>
      <c r="C871" s="4"/>
      <c r="D871" s="4"/>
      <c r="E871" s="5"/>
      <c r="F871" s="6"/>
      <c r="N871" s="7"/>
      <c r="W871" s="4"/>
      <c r="X871" s="4"/>
      <c r="Z871" s="7"/>
      <c r="AA871" s="4"/>
      <c r="AB871" s="3"/>
      <c r="AC871" s="3"/>
      <c r="AD871" s="3"/>
      <c r="AE871" s="3"/>
      <c r="AF871" s="3"/>
      <c r="AG871" s="3"/>
    </row>
    <row r="872" customFormat="false" ht="15.75" hidden="false" customHeight="false" outlineLevel="0" collapsed="false">
      <c r="A872" s="3"/>
      <c r="B872" s="3"/>
      <c r="C872" s="4"/>
      <c r="D872" s="4"/>
      <c r="E872" s="5"/>
      <c r="F872" s="6"/>
      <c r="N872" s="7"/>
      <c r="W872" s="4"/>
      <c r="X872" s="4"/>
      <c r="Z872" s="7"/>
      <c r="AA872" s="4"/>
      <c r="AB872" s="3"/>
      <c r="AC872" s="3"/>
      <c r="AD872" s="3"/>
      <c r="AE872" s="3"/>
      <c r="AF872" s="3"/>
      <c r="AG872" s="3"/>
    </row>
    <row r="873" customFormat="false" ht="15.75" hidden="false" customHeight="false" outlineLevel="0" collapsed="false">
      <c r="A873" s="3"/>
      <c r="B873" s="3"/>
      <c r="C873" s="4"/>
      <c r="D873" s="4"/>
      <c r="E873" s="5"/>
      <c r="F873" s="6"/>
      <c r="N873" s="7"/>
      <c r="W873" s="4"/>
      <c r="X873" s="4"/>
      <c r="Z873" s="7"/>
      <c r="AA873" s="4"/>
      <c r="AB873" s="3"/>
      <c r="AC873" s="3"/>
      <c r="AD873" s="3"/>
      <c r="AE873" s="3"/>
      <c r="AF873" s="3"/>
      <c r="AG873" s="3"/>
    </row>
    <row r="874" customFormat="false" ht="15.75" hidden="false" customHeight="false" outlineLevel="0" collapsed="false">
      <c r="A874" s="3"/>
      <c r="B874" s="3"/>
      <c r="C874" s="4"/>
      <c r="D874" s="4"/>
      <c r="E874" s="5"/>
      <c r="F874" s="6"/>
      <c r="N874" s="7"/>
      <c r="W874" s="4"/>
      <c r="X874" s="4"/>
      <c r="Z874" s="7"/>
      <c r="AA874" s="4"/>
      <c r="AB874" s="3"/>
      <c r="AC874" s="3"/>
      <c r="AD874" s="3"/>
      <c r="AE874" s="3"/>
      <c r="AF874" s="3"/>
      <c r="AG874" s="3"/>
    </row>
    <row r="875" customFormat="false" ht="15.75" hidden="false" customHeight="false" outlineLevel="0" collapsed="false">
      <c r="A875" s="3"/>
      <c r="B875" s="3"/>
      <c r="C875" s="4"/>
      <c r="D875" s="4"/>
      <c r="E875" s="5"/>
      <c r="F875" s="6"/>
      <c r="N875" s="7"/>
      <c r="W875" s="4"/>
      <c r="X875" s="4"/>
      <c r="Z875" s="7"/>
      <c r="AA875" s="4"/>
      <c r="AB875" s="3"/>
      <c r="AC875" s="3"/>
      <c r="AD875" s="3"/>
      <c r="AE875" s="3"/>
      <c r="AF875" s="3"/>
      <c r="AG875" s="3"/>
    </row>
    <row r="876" customFormat="false" ht="15.75" hidden="false" customHeight="false" outlineLevel="0" collapsed="false">
      <c r="A876" s="3"/>
      <c r="B876" s="3"/>
      <c r="C876" s="4"/>
      <c r="D876" s="4"/>
      <c r="E876" s="5"/>
      <c r="F876" s="6"/>
      <c r="N876" s="7"/>
      <c r="W876" s="4"/>
      <c r="X876" s="4"/>
      <c r="Z876" s="7"/>
      <c r="AA876" s="4"/>
      <c r="AB876" s="3"/>
      <c r="AC876" s="3"/>
      <c r="AD876" s="3"/>
      <c r="AE876" s="3"/>
      <c r="AF876" s="3"/>
      <c r="AG876" s="3"/>
    </row>
    <row r="877" customFormat="false" ht="15.75" hidden="false" customHeight="false" outlineLevel="0" collapsed="false">
      <c r="A877" s="3"/>
      <c r="B877" s="3"/>
      <c r="C877" s="4"/>
      <c r="D877" s="4"/>
      <c r="E877" s="5"/>
      <c r="F877" s="6"/>
      <c r="N877" s="7"/>
      <c r="W877" s="4"/>
      <c r="X877" s="4"/>
      <c r="Z877" s="7"/>
      <c r="AA877" s="4"/>
      <c r="AB877" s="3"/>
      <c r="AC877" s="3"/>
      <c r="AD877" s="3"/>
      <c r="AE877" s="3"/>
      <c r="AF877" s="3"/>
      <c r="AG877" s="3"/>
    </row>
    <row r="878" customFormat="false" ht="15.75" hidden="false" customHeight="false" outlineLevel="0" collapsed="false">
      <c r="A878" s="3"/>
      <c r="B878" s="3"/>
      <c r="C878" s="4"/>
      <c r="D878" s="4"/>
      <c r="E878" s="5"/>
      <c r="F878" s="6"/>
      <c r="N878" s="7"/>
      <c r="W878" s="4"/>
      <c r="X878" s="4"/>
      <c r="Z878" s="7"/>
      <c r="AA878" s="4"/>
      <c r="AB878" s="3"/>
      <c r="AC878" s="3"/>
      <c r="AD878" s="3"/>
      <c r="AE878" s="3"/>
      <c r="AF878" s="3"/>
      <c r="AG878" s="3"/>
    </row>
    <row r="879" customFormat="false" ht="15.75" hidden="false" customHeight="false" outlineLevel="0" collapsed="false">
      <c r="A879" s="3"/>
      <c r="B879" s="3"/>
      <c r="C879" s="4"/>
      <c r="D879" s="4"/>
      <c r="E879" s="5"/>
      <c r="F879" s="6"/>
      <c r="N879" s="7"/>
      <c r="W879" s="4"/>
      <c r="X879" s="4"/>
      <c r="Z879" s="7"/>
      <c r="AA879" s="4"/>
      <c r="AB879" s="3"/>
      <c r="AC879" s="3"/>
      <c r="AD879" s="3"/>
      <c r="AE879" s="3"/>
      <c r="AF879" s="3"/>
      <c r="AG879" s="3"/>
    </row>
    <row r="880" customFormat="false" ht="15.75" hidden="false" customHeight="false" outlineLevel="0" collapsed="false">
      <c r="A880" s="3"/>
      <c r="B880" s="3"/>
      <c r="C880" s="4"/>
      <c r="D880" s="4"/>
      <c r="E880" s="5"/>
      <c r="F880" s="6"/>
      <c r="N880" s="7"/>
      <c r="W880" s="4"/>
      <c r="X880" s="4"/>
      <c r="Z880" s="7"/>
      <c r="AA880" s="4"/>
      <c r="AB880" s="3"/>
      <c r="AC880" s="3"/>
      <c r="AD880" s="3"/>
      <c r="AE880" s="3"/>
      <c r="AF880" s="3"/>
      <c r="AG880" s="3"/>
    </row>
    <row r="881" customFormat="false" ht="15.75" hidden="false" customHeight="false" outlineLevel="0" collapsed="false">
      <c r="A881" s="3"/>
      <c r="B881" s="3"/>
      <c r="C881" s="4"/>
      <c r="D881" s="4"/>
      <c r="E881" s="5"/>
      <c r="F881" s="6"/>
      <c r="N881" s="7"/>
      <c r="W881" s="4"/>
      <c r="X881" s="4"/>
      <c r="Z881" s="7"/>
      <c r="AA881" s="4"/>
      <c r="AB881" s="3"/>
      <c r="AC881" s="3"/>
      <c r="AD881" s="3"/>
      <c r="AE881" s="3"/>
      <c r="AF881" s="3"/>
      <c r="AG881" s="3"/>
    </row>
    <row r="882" customFormat="false" ht="15.75" hidden="false" customHeight="false" outlineLevel="0" collapsed="false">
      <c r="A882" s="3"/>
      <c r="B882" s="3"/>
      <c r="C882" s="4"/>
      <c r="D882" s="4"/>
      <c r="E882" s="5"/>
      <c r="F882" s="6"/>
      <c r="N882" s="7"/>
      <c r="W882" s="4"/>
      <c r="X882" s="4"/>
      <c r="Z882" s="7"/>
      <c r="AA882" s="4"/>
      <c r="AB882" s="3"/>
      <c r="AC882" s="3"/>
      <c r="AD882" s="3"/>
      <c r="AE882" s="3"/>
      <c r="AF882" s="3"/>
      <c r="AG882" s="3"/>
    </row>
    <row r="883" customFormat="false" ht="15.75" hidden="false" customHeight="false" outlineLevel="0" collapsed="false">
      <c r="A883" s="3"/>
      <c r="B883" s="3"/>
      <c r="C883" s="4"/>
      <c r="D883" s="4"/>
      <c r="E883" s="5"/>
      <c r="F883" s="6"/>
      <c r="N883" s="7"/>
      <c r="W883" s="4"/>
      <c r="X883" s="4"/>
      <c r="Z883" s="7"/>
      <c r="AA883" s="4"/>
      <c r="AB883" s="3"/>
      <c r="AC883" s="3"/>
      <c r="AD883" s="3"/>
      <c r="AE883" s="3"/>
      <c r="AF883" s="3"/>
      <c r="AG883" s="3"/>
    </row>
    <row r="884" customFormat="false" ht="15.75" hidden="false" customHeight="false" outlineLevel="0" collapsed="false">
      <c r="A884" s="3"/>
      <c r="B884" s="3"/>
      <c r="C884" s="4"/>
      <c r="D884" s="4"/>
      <c r="E884" s="5"/>
      <c r="F884" s="6"/>
      <c r="N884" s="7"/>
      <c r="W884" s="4"/>
      <c r="X884" s="4"/>
      <c r="Z884" s="7"/>
      <c r="AA884" s="4"/>
      <c r="AB884" s="3"/>
      <c r="AC884" s="3"/>
      <c r="AD884" s="3"/>
      <c r="AE884" s="3"/>
      <c r="AF884" s="3"/>
      <c r="AG884" s="3"/>
    </row>
    <row r="885" customFormat="false" ht="15.75" hidden="false" customHeight="false" outlineLevel="0" collapsed="false">
      <c r="A885" s="3"/>
      <c r="B885" s="3"/>
      <c r="C885" s="4"/>
      <c r="D885" s="4"/>
      <c r="E885" s="5"/>
      <c r="F885" s="6"/>
      <c r="N885" s="7"/>
      <c r="W885" s="4"/>
      <c r="X885" s="4"/>
      <c r="Z885" s="7"/>
      <c r="AA885" s="4"/>
      <c r="AB885" s="3"/>
      <c r="AC885" s="3"/>
      <c r="AD885" s="3"/>
      <c r="AE885" s="3"/>
      <c r="AF885" s="3"/>
      <c r="AG885" s="3"/>
    </row>
    <row r="886" customFormat="false" ht="15.75" hidden="false" customHeight="false" outlineLevel="0" collapsed="false">
      <c r="A886" s="3"/>
      <c r="B886" s="3"/>
      <c r="C886" s="4"/>
      <c r="D886" s="4"/>
      <c r="E886" s="5"/>
      <c r="F886" s="6"/>
      <c r="N886" s="7"/>
      <c r="W886" s="4"/>
      <c r="X886" s="4"/>
      <c r="Z886" s="7"/>
      <c r="AA886" s="4"/>
      <c r="AB886" s="3"/>
      <c r="AC886" s="3"/>
      <c r="AD886" s="3"/>
      <c r="AE886" s="3"/>
      <c r="AF886" s="3"/>
      <c r="AG886" s="3"/>
    </row>
    <row r="887" customFormat="false" ht="15.75" hidden="false" customHeight="false" outlineLevel="0" collapsed="false">
      <c r="A887" s="3"/>
      <c r="B887" s="3"/>
      <c r="C887" s="4"/>
      <c r="D887" s="4"/>
      <c r="E887" s="5"/>
      <c r="F887" s="6"/>
      <c r="N887" s="7"/>
      <c r="W887" s="4"/>
      <c r="X887" s="4"/>
      <c r="Z887" s="7"/>
      <c r="AA887" s="4"/>
      <c r="AB887" s="3"/>
      <c r="AC887" s="3"/>
      <c r="AD887" s="3"/>
      <c r="AE887" s="3"/>
      <c r="AF887" s="3"/>
      <c r="AG887" s="3"/>
    </row>
    <row r="888" customFormat="false" ht="15.75" hidden="false" customHeight="false" outlineLevel="0" collapsed="false">
      <c r="A888" s="3"/>
      <c r="B888" s="3"/>
      <c r="C888" s="4"/>
      <c r="D888" s="4"/>
      <c r="E888" s="5"/>
      <c r="F888" s="6"/>
      <c r="N888" s="7"/>
      <c r="W888" s="4"/>
      <c r="X888" s="4"/>
      <c r="Z888" s="7"/>
      <c r="AA888" s="4"/>
      <c r="AB888" s="3"/>
      <c r="AC888" s="3"/>
      <c r="AD888" s="3"/>
      <c r="AE888" s="3"/>
      <c r="AF888" s="3"/>
      <c r="AG888" s="3"/>
    </row>
    <row r="889" customFormat="false" ht="15.75" hidden="false" customHeight="false" outlineLevel="0" collapsed="false">
      <c r="A889" s="3"/>
      <c r="B889" s="3"/>
      <c r="C889" s="4"/>
      <c r="D889" s="4"/>
      <c r="E889" s="5"/>
      <c r="F889" s="6"/>
      <c r="N889" s="7"/>
      <c r="W889" s="4"/>
      <c r="X889" s="4"/>
      <c r="Z889" s="7"/>
      <c r="AA889" s="4"/>
      <c r="AB889" s="3"/>
      <c r="AC889" s="3"/>
      <c r="AD889" s="3"/>
      <c r="AE889" s="3"/>
      <c r="AF889" s="3"/>
      <c r="AG889" s="3"/>
    </row>
    <row r="890" customFormat="false" ht="15.75" hidden="false" customHeight="false" outlineLevel="0" collapsed="false">
      <c r="A890" s="3"/>
      <c r="B890" s="3"/>
      <c r="C890" s="4"/>
      <c r="D890" s="4"/>
      <c r="E890" s="5"/>
      <c r="F890" s="6"/>
      <c r="N890" s="7"/>
      <c r="W890" s="4"/>
      <c r="X890" s="4"/>
      <c r="Z890" s="7"/>
      <c r="AA890" s="4"/>
      <c r="AB890" s="3"/>
      <c r="AC890" s="3"/>
      <c r="AD890" s="3"/>
      <c r="AE890" s="3"/>
      <c r="AF890" s="3"/>
      <c r="AG890" s="3"/>
    </row>
    <row r="891" customFormat="false" ht="15.75" hidden="false" customHeight="false" outlineLevel="0" collapsed="false">
      <c r="A891" s="3"/>
      <c r="B891" s="3"/>
      <c r="C891" s="4"/>
      <c r="D891" s="4"/>
      <c r="E891" s="5"/>
      <c r="F891" s="6"/>
      <c r="N891" s="7"/>
      <c r="W891" s="4"/>
      <c r="X891" s="4"/>
      <c r="Z891" s="7"/>
      <c r="AA891" s="4"/>
      <c r="AB891" s="3"/>
      <c r="AC891" s="3"/>
      <c r="AD891" s="3"/>
      <c r="AE891" s="3"/>
      <c r="AF891" s="3"/>
      <c r="AG891" s="3"/>
    </row>
    <row r="892" customFormat="false" ht="15.75" hidden="false" customHeight="false" outlineLevel="0" collapsed="false">
      <c r="A892" s="3"/>
      <c r="B892" s="3"/>
      <c r="C892" s="4"/>
      <c r="D892" s="4"/>
      <c r="E892" s="5"/>
      <c r="F892" s="6"/>
      <c r="N892" s="7"/>
      <c r="W892" s="4"/>
      <c r="X892" s="4"/>
      <c r="Z892" s="7"/>
      <c r="AA892" s="4"/>
      <c r="AB892" s="3"/>
      <c r="AC892" s="3"/>
      <c r="AD892" s="3"/>
      <c r="AE892" s="3"/>
      <c r="AF892" s="3"/>
      <c r="AG892" s="3"/>
    </row>
    <row r="893" customFormat="false" ht="15.75" hidden="false" customHeight="false" outlineLevel="0" collapsed="false">
      <c r="A893" s="3"/>
      <c r="B893" s="3"/>
      <c r="C893" s="4"/>
      <c r="D893" s="4"/>
      <c r="E893" s="5"/>
      <c r="F893" s="6"/>
      <c r="N893" s="7"/>
      <c r="W893" s="4"/>
      <c r="X893" s="4"/>
      <c r="Z893" s="7"/>
      <c r="AA893" s="4"/>
      <c r="AB893" s="3"/>
      <c r="AC893" s="3"/>
      <c r="AD893" s="3"/>
      <c r="AE893" s="3"/>
      <c r="AF893" s="3"/>
      <c r="AG893" s="3"/>
    </row>
    <row r="894" customFormat="false" ht="15.75" hidden="false" customHeight="false" outlineLevel="0" collapsed="false">
      <c r="A894" s="3"/>
      <c r="B894" s="3"/>
      <c r="C894" s="4"/>
      <c r="D894" s="4"/>
      <c r="E894" s="5"/>
      <c r="F894" s="6"/>
      <c r="N894" s="7"/>
      <c r="W894" s="4"/>
      <c r="X894" s="4"/>
      <c r="Z894" s="7"/>
      <c r="AA894" s="4"/>
      <c r="AB894" s="3"/>
      <c r="AC894" s="3"/>
      <c r="AD894" s="3"/>
      <c r="AE894" s="3"/>
      <c r="AF894" s="3"/>
      <c r="AG894" s="3"/>
    </row>
    <row r="895" customFormat="false" ht="15.75" hidden="false" customHeight="false" outlineLevel="0" collapsed="false">
      <c r="A895" s="3"/>
      <c r="B895" s="3"/>
      <c r="C895" s="4"/>
      <c r="D895" s="4"/>
      <c r="E895" s="5"/>
      <c r="F895" s="6"/>
      <c r="N895" s="7"/>
      <c r="W895" s="4"/>
      <c r="X895" s="4"/>
      <c r="Z895" s="7"/>
      <c r="AA895" s="4"/>
      <c r="AB895" s="3"/>
      <c r="AC895" s="3"/>
      <c r="AD895" s="3"/>
      <c r="AE895" s="3"/>
      <c r="AF895" s="3"/>
      <c r="AG895" s="3"/>
    </row>
    <row r="896" customFormat="false" ht="15.75" hidden="false" customHeight="false" outlineLevel="0" collapsed="false">
      <c r="A896" s="3"/>
      <c r="B896" s="3"/>
      <c r="C896" s="4"/>
      <c r="D896" s="4"/>
      <c r="E896" s="5"/>
      <c r="F896" s="6"/>
      <c r="N896" s="7"/>
      <c r="W896" s="4"/>
      <c r="X896" s="4"/>
      <c r="Z896" s="7"/>
      <c r="AA896" s="4"/>
      <c r="AB896" s="3"/>
      <c r="AC896" s="3"/>
      <c r="AD896" s="3"/>
      <c r="AE896" s="3"/>
      <c r="AF896" s="3"/>
      <c r="AG896" s="3"/>
    </row>
    <row r="897" customFormat="false" ht="15.75" hidden="false" customHeight="false" outlineLevel="0" collapsed="false">
      <c r="A897" s="3"/>
      <c r="B897" s="3"/>
      <c r="C897" s="4"/>
      <c r="D897" s="4"/>
      <c r="E897" s="5"/>
      <c r="F897" s="6"/>
      <c r="N897" s="7"/>
      <c r="W897" s="4"/>
      <c r="X897" s="4"/>
      <c r="Z897" s="7"/>
      <c r="AA897" s="4"/>
      <c r="AB897" s="3"/>
      <c r="AC897" s="3"/>
      <c r="AD897" s="3"/>
      <c r="AE897" s="3"/>
      <c r="AF897" s="3"/>
      <c r="AG897" s="3"/>
    </row>
    <row r="898" customFormat="false" ht="15.75" hidden="false" customHeight="false" outlineLevel="0" collapsed="false">
      <c r="A898" s="3"/>
      <c r="B898" s="3"/>
      <c r="C898" s="4"/>
      <c r="D898" s="4"/>
      <c r="E898" s="5"/>
      <c r="F898" s="6"/>
      <c r="N898" s="7"/>
      <c r="W898" s="4"/>
      <c r="X898" s="4"/>
      <c r="Z898" s="7"/>
      <c r="AA898" s="4"/>
      <c r="AB898" s="3"/>
      <c r="AC898" s="3"/>
      <c r="AD898" s="3"/>
      <c r="AE898" s="3"/>
      <c r="AF898" s="3"/>
      <c r="AG898" s="3"/>
    </row>
    <row r="899" customFormat="false" ht="15.75" hidden="false" customHeight="false" outlineLevel="0" collapsed="false">
      <c r="A899" s="3"/>
      <c r="B899" s="3"/>
      <c r="C899" s="4"/>
      <c r="D899" s="4"/>
      <c r="E899" s="5"/>
      <c r="F899" s="6"/>
      <c r="N899" s="7"/>
      <c r="W899" s="4"/>
      <c r="X899" s="4"/>
      <c r="Z899" s="7"/>
      <c r="AA899" s="4"/>
      <c r="AB899" s="3"/>
      <c r="AC899" s="3"/>
      <c r="AD899" s="3"/>
      <c r="AE899" s="3"/>
      <c r="AF899" s="3"/>
      <c r="AG899" s="3"/>
    </row>
    <row r="900" customFormat="false" ht="15.75" hidden="false" customHeight="false" outlineLevel="0" collapsed="false">
      <c r="A900" s="3"/>
      <c r="B900" s="3"/>
      <c r="C900" s="4"/>
      <c r="D900" s="4"/>
      <c r="E900" s="5"/>
      <c r="F900" s="6"/>
      <c r="N900" s="7"/>
      <c r="W900" s="4"/>
      <c r="X900" s="4"/>
      <c r="Z900" s="7"/>
      <c r="AA900" s="4"/>
      <c r="AB900" s="3"/>
      <c r="AC900" s="3"/>
      <c r="AD900" s="3"/>
      <c r="AE900" s="3"/>
      <c r="AF900" s="3"/>
      <c r="AG900" s="3"/>
    </row>
    <row r="901" customFormat="false" ht="15.75" hidden="false" customHeight="false" outlineLevel="0" collapsed="false">
      <c r="A901" s="3"/>
      <c r="B901" s="3"/>
      <c r="C901" s="4"/>
      <c r="D901" s="4"/>
      <c r="E901" s="5"/>
      <c r="F901" s="6"/>
      <c r="N901" s="7"/>
      <c r="W901" s="4"/>
      <c r="X901" s="4"/>
      <c r="Z901" s="7"/>
      <c r="AA901" s="4"/>
      <c r="AB901" s="3"/>
      <c r="AC901" s="3"/>
      <c r="AD901" s="3"/>
      <c r="AE901" s="3"/>
      <c r="AF901" s="3"/>
      <c r="AG901" s="3"/>
    </row>
    <row r="902" customFormat="false" ht="15.75" hidden="false" customHeight="false" outlineLevel="0" collapsed="false">
      <c r="A902" s="3"/>
      <c r="B902" s="3"/>
      <c r="C902" s="4"/>
      <c r="D902" s="4"/>
      <c r="E902" s="5"/>
      <c r="F902" s="6"/>
      <c r="N902" s="7"/>
      <c r="W902" s="4"/>
      <c r="X902" s="4"/>
      <c r="Z902" s="7"/>
      <c r="AA902" s="4"/>
      <c r="AB902" s="3"/>
      <c r="AC902" s="3"/>
      <c r="AD902" s="3"/>
      <c r="AE902" s="3"/>
      <c r="AF902" s="3"/>
      <c r="AG902" s="3"/>
    </row>
    <row r="903" customFormat="false" ht="15.75" hidden="false" customHeight="false" outlineLevel="0" collapsed="false">
      <c r="A903" s="3"/>
      <c r="B903" s="3"/>
      <c r="C903" s="4"/>
      <c r="D903" s="4"/>
      <c r="E903" s="5"/>
      <c r="F903" s="6"/>
      <c r="N903" s="7"/>
      <c r="W903" s="4"/>
      <c r="X903" s="4"/>
      <c r="Z903" s="7"/>
      <c r="AA903" s="4"/>
      <c r="AB903" s="3"/>
      <c r="AC903" s="3"/>
      <c r="AD903" s="3"/>
      <c r="AE903" s="3"/>
      <c r="AF903" s="3"/>
      <c r="AG903" s="3"/>
    </row>
    <row r="904" customFormat="false" ht="15.75" hidden="false" customHeight="false" outlineLevel="0" collapsed="false">
      <c r="A904" s="3"/>
      <c r="B904" s="3"/>
      <c r="C904" s="4"/>
      <c r="D904" s="4"/>
      <c r="E904" s="5"/>
      <c r="F904" s="6"/>
      <c r="N904" s="7"/>
      <c r="W904" s="4"/>
      <c r="X904" s="4"/>
      <c r="Z904" s="7"/>
      <c r="AA904" s="4"/>
      <c r="AB904" s="3"/>
      <c r="AC904" s="3"/>
      <c r="AD904" s="3"/>
      <c r="AE904" s="3"/>
      <c r="AF904" s="3"/>
      <c r="AG904" s="3"/>
    </row>
    <row r="905" customFormat="false" ht="15.75" hidden="false" customHeight="false" outlineLevel="0" collapsed="false">
      <c r="A905" s="3"/>
      <c r="B905" s="3"/>
      <c r="C905" s="4"/>
      <c r="D905" s="4"/>
      <c r="E905" s="5"/>
      <c r="F905" s="6"/>
      <c r="N905" s="7"/>
      <c r="W905" s="4"/>
      <c r="X905" s="4"/>
      <c r="Z905" s="7"/>
      <c r="AA905" s="4"/>
      <c r="AB905" s="3"/>
      <c r="AC905" s="3"/>
      <c r="AD905" s="3"/>
      <c r="AE905" s="3"/>
      <c r="AF905" s="3"/>
      <c r="AG905" s="3"/>
    </row>
    <row r="906" customFormat="false" ht="15.75" hidden="false" customHeight="false" outlineLevel="0" collapsed="false">
      <c r="A906" s="3"/>
      <c r="B906" s="3"/>
      <c r="C906" s="4"/>
      <c r="D906" s="4"/>
      <c r="E906" s="5"/>
      <c r="F906" s="6"/>
      <c r="N906" s="7"/>
      <c r="W906" s="4"/>
      <c r="X906" s="4"/>
      <c r="Z906" s="7"/>
      <c r="AA906" s="4"/>
      <c r="AB906" s="3"/>
      <c r="AC906" s="3"/>
      <c r="AD906" s="3"/>
      <c r="AE906" s="3"/>
      <c r="AF906" s="3"/>
      <c r="AG906" s="3"/>
    </row>
    <row r="907" customFormat="false" ht="15.75" hidden="false" customHeight="false" outlineLevel="0" collapsed="false">
      <c r="A907" s="3"/>
      <c r="B907" s="3"/>
      <c r="C907" s="4"/>
      <c r="D907" s="4"/>
      <c r="E907" s="5"/>
      <c r="F907" s="6"/>
      <c r="N907" s="7"/>
      <c r="W907" s="4"/>
      <c r="X907" s="4"/>
      <c r="Z907" s="7"/>
      <c r="AA907" s="4"/>
      <c r="AB907" s="3"/>
      <c r="AC907" s="3"/>
      <c r="AD907" s="3"/>
      <c r="AE907" s="3"/>
      <c r="AF907" s="3"/>
      <c r="AG907" s="3"/>
    </row>
    <row r="908" customFormat="false" ht="15.75" hidden="false" customHeight="false" outlineLevel="0" collapsed="false">
      <c r="A908" s="3"/>
      <c r="B908" s="3"/>
      <c r="C908" s="4"/>
      <c r="D908" s="4"/>
      <c r="E908" s="5"/>
      <c r="F908" s="6"/>
      <c r="N908" s="7"/>
      <c r="W908" s="4"/>
      <c r="X908" s="4"/>
      <c r="Z908" s="7"/>
      <c r="AA908" s="4"/>
      <c r="AB908" s="3"/>
      <c r="AC908" s="3"/>
      <c r="AD908" s="3"/>
      <c r="AE908" s="3"/>
      <c r="AF908" s="3"/>
      <c r="AG908" s="3"/>
    </row>
    <row r="909" customFormat="false" ht="15.75" hidden="false" customHeight="false" outlineLevel="0" collapsed="false">
      <c r="A909" s="3"/>
      <c r="B909" s="3"/>
      <c r="C909" s="4"/>
      <c r="D909" s="4"/>
      <c r="E909" s="5"/>
      <c r="F909" s="6"/>
      <c r="N909" s="7"/>
      <c r="W909" s="4"/>
      <c r="X909" s="4"/>
      <c r="Z909" s="7"/>
      <c r="AA909" s="4"/>
      <c r="AB909" s="3"/>
      <c r="AC909" s="3"/>
      <c r="AD909" s="3"/>
      <c r="AE909" s="3"/>
      <c r="AF909" s="3"/>
      <c r="AG909" s="3"/>
    </row>
    <row r="910" customFormat="false" ht="15.75" hidden="false" customHeight="false" outlineLevel="0" collapsed="false">
      <c r="A910" s="3"/>
      <c r="B910" s="3"/>
      <c r="C910" s="4"/>
      <c r="D910" s="4"/>
      <c r="E910" s="5"/>
      <c r="F910" s="6"/>
      <c r="N910" s="7"/>
      <c r="W910" s="4"/>
      <c r="X910" s="4"/>
      <c r="Z910" s="7"/>
      <c r="AA910" s="4"/>
      <c r="AB910" s="3"/>
      <c r="AC910" s="3"/>
      <c r="AD910" s="3"/>
      <c r="AE910" s="3"/>
      <c r="AF910" s="3"/>
      <c r="AG910" s="3"/>
    </row>
    <row r="911" customFormat="false" ht="15.75" hidden="false" customHeight="false" outlineLevel="0" collapsed="false">
      <c r="A911" s="3"/>
      <c r="B911" s="3"/>
      <c r="C911" s="4"/>
      <c r="D911" s="4"/>
      <c r="E911" s="5"/>
      <c r="F911" s="6"/>
      <c r="N911" s="7"/>
      <c r="W911" s="4"/>
      <c r="X911" s="4"/>
      <c r="Z911" s="7"/>
      <c r="AA911" s="4"/>
      <c r="AB911" s="3"/>
      <c r="AC911" s="3"/>
      <c r="AD911" s="3"/>
      <c r="AE911" s="3"/>
      <c r="AF911" s="3"/>
      <c r="AG911" s="3"/>
    </row>
    <row r="912" customFormat="false" ht="15.75" hidden="false" customHeight="false" outlineLevel="0" collapsed="false">
      <c r="A912" s="3"/>
      <c r="B912" s="3"/>
      <c r="C912" s="4"/>
      <c r="D912" s="4"/>
      <c r="E912" s="5"/>
      <c r="F912" s="6"/>
      <c r="N912" s="7"/>
      <c r="W912" s="4"/>
      <c r="X912" s="4"/>
      <c r="Z912" s="7"/>
      <c r="AA912" s="4"/>
      <c r="AB912" s="3"/>
      <c r="AC912" s="3"/>
      <c r="AD912" s="3"/>
      <c r="AE912" s="3"/>
      <c r="AF912" s="3"/>
      <c r="AG912" s="3"/>
    </row>
    <row r="913" customFormat="false" ht="15.75" hidden="false" customHeight="false" outlineLevel="0" collapsed="false">
      <c r="A913" s="3"/>
      <c r="B913" s="3"/>
      <c r="C913" s="4"/>
      <c r="D913" s="4"/>
      <c r="E913" s="5"/>
      <c r="F913" s="6"/>
      <c r="N913" s="7"/>
      <c r="W913" s="4"/>
      <c r="X913" s="4"/>
      <c r="Z913" s="7"/>
      <c r="AA913" s="4"/>
      <c r="AB913" s="3"/>
      <c r="AC913" s="3"/>
      <c r="AD913" s="3"/>
      <c r="AE913" s="3"/>
      <c r="AF913" s="3"/>
      <c r="AG913" s="3"/>
    </row>
    <row r="914" customFormat="false" ht="15.75" hidden="false" customHeight="false" outlineLevel="0" collapsed="false">
      <c r="A914" s="3"/>
      <c r="B914" s="3"/>
      <c r="C914" s="4"/>
      <c r="D914" s="4"/>
      <c r="E914" s="5"/>
      <c r="F914" s="6"/>
      <c r="N914" s="7"/>
      <c r="W914" s="4"/>
      <c r="X914" s="4"/>
      <c r="Z914" s="7"/>
      <c r="AA914" s="4"/>
      <c r="AB914" s="3"/>
      <c r="AC914" s="3"/>
      <c r="AD914" s="3"/>
      <c r="AE914" s="3"/>
      <c r="AF914" s="3"/>
      <c r="AG914" s="3"/>
    </row>
    <row r="915" customFormat="false" ht="15.75" hidden="false" customHeight="false" outlineLevel="0" collapsed="false">
      <c r="A915" s="3"/>
      <c r="B915" s="3"/>
      <c r="C915" s="4"/>
      <c r="D915" s="4"/>
      <c r="E915" s="5"/>
      <c r="F915" s="6"/>
      <c r="N915" s="7"/>
      <c r="W915" s="4"/>
      <c r="X915" s="4"/>
      <c r="Z915" s="7"/>
      <c r="AA915" s="4"/>
      <c r="AB915" s="3"/>
      <c r="AC915" s="3"/>
      <c r="AD915" s="3"/>
      <c r="AE915" s="3"/>
      <c r="AF915" s="3"/>
      <c r="AG915" s="3"/>
    </row>
    <row r="916" customFormat="false" ht="15.75" hidden="false" customHeight="false" outlineLevel="0" collapsed="false">
      <c r="A916" s="3"/>
      <c r="B916" s="3"/>
      <c r="C916" s="4"/>
      <c r="D916" s="4"/>
      <c r="E916" s="5"/>
      <c r="F916" s="6"/>
      <c r="N916" s="7"/>
      <c r="W916" s="4"/>
      <c r="X916" s="4"/>
      <c r="Z916" s="7"/>
      <c r="AA916" s="4"/>
      <c r="AB916" s="3"/>
      <c r="AC916" s="3"/>
      <c r="AD916" s="3"/>
      <c r="AE916" s="3"/>
      <c r="AF916" s="3"/>
      <c r="AG916" s="3"/>
    </row>
    <row r="917" customFormat="false" ht="15.75" hidden="false" customHeight="false" outlineLevel="0" collapsed="false">
      <c r="A917" s="3"/>
      <c r="B917" s="3"/>
      <c r="C917" s="4"/>
      <c r="D917" s="4"/>
      <c r="E917" s="5"/>
      <c r="F917" s="6"/>
      <c r="N917" s="7"/>
      <c r="W917" s="4"/>
      <c r="X917" s="4"/>
      <c r="Z917" s="7"/>
      <c r="AA917" s="4"/>
      <c r="AB917" s="3"/>
      <c r="AC917" s="3"/>
      <c r="AD917" s="3"/>
      <c r="AE917" s="3"/>
      <c r="AF917" s="3"/>
      <c r="AG917" s="3"/>
    </row>
    <row r="918" customFormat="false" ht="15.75" hidden="false" customHeight="false" outlineLevel="0" collapsed="false">
      <c r="A918" s="3"/>
      <c r="B918" s="3"/>
      <c r="C918" s="4"/>
      <c r="D918" s="4"/>
      <c r="E918" s="5"/>
      <c r="F918" s="6"/>
      <c r="N918" s="7"/>
      <c r="W918" s="4"/>
      <c r="X918" s="4"/>
      <c r="Z918" s="7"/>
      <c r="AA918" s="4"/>
      <c r="AB918" s="3"/>
      <c r="AC918" s="3"/>
      <c r="AD918" s="3"/>
      <c r="AE918" s="3"/>
      <c r="AF918" s="3"/>
      <c r="AG918" s="3"/>
    </row>
    <row r="919" customFormat="false" ht="15.75" hidden="false" customHeight="false" outlineLevel="0" collapsed="false">
      <c r="A919" s="3"/>
      <c r="B919" s="3"/>
      <c r="C919" s="4"/>
      <c r="D919" s="4"/>
      <c r="E919" s="5"/>
      <c r="F919" s="6"/>
      <c r="N919" s="7"/>
      <c r="W919" s="4"/>
      <c r="X919" s="4"/>
      <c r="Z919" s="7"/>
      <c r="AA919" s="4"/>
      <c r="AB919" s="3"/>
      <c r="AC919" s="3"/>
      <c r="AD919" s="3"/>
      <c r="AE919" s="3"/>
      <c r="AF919" s="3"/>
      <c r="AG919" s="3"/>
    </row>
    <row r="920" customFormat="false" ht="15.75" hidden="false" customHeight="false" outlineLevel="0" collapsed="false">
      <c r="A920" s="3"/>
      <c r="B920" s="3"/>
      <c r="C920" s="4"/>
      <c r="D920" s="4"/>
      <c r="E920" s="5"/>
      <c r="F920" s="6"/>
      <c r="N920" s="7"/>
      <c r="W920" s="4"/>
      <c r="X920" s="4"/>
      <c r="Z920" s="7"/>
      <c r="AA920" s="4"/>
      <c r="AB920" s="3"/>
      <c r="AC920" s="3"/>
      <c r="AD920" s="3"/>
      <c r="AE920" s="3"/>
      <c r="AF920" s="3"/>
      <c r="AG920" s="3"/>
    </row>
    <row r="921" customFormat="false" ht="15.75" hidden="false" customHeight="false" outlineLevel="0" collapsed="false">
      <c r="A921" s="3"/>
      <c r="B921" s="3"/>
      <c r="C921" s="4"/>
      <c r="D921" s="4"/>
      <c r="E921" s="5"/>
      <c r="F921" s="6"/>
      <c r="N921" s="7"/>
      <c r="W921" s="4"/>
      <c r="X921" s="4"/>
      <c r="Z921" s="7"/>
      <c r="AA921" s="4"/>
      <c r="AB921" s="3"/>
      <c r="AC921" s="3"/>
      <c r="AD921" s="3"/>
      <c r="AE921" s="3"/>
      <c r="AF921" s="3"/>
      <c r="AG921" s="3"/>
    </row>
    <row r="922" customFormat="false" ht="15.75" hidden="false" customHeight="false" outlineLevel="0" collapsed="false">
      <c r="A922" s="3"/>
      <c r="B922" s="3"/>
      <c r="C922" s="4"/>
      <c r="D922" s="4"/>
      <c r="E922" s="5"/>
      <c r="F922" s="6"/>
      <c r="N922" s="7"/>
      <c r="W922" s="4"/>
      <c r="X922" s="4"/>
      <c r="Z922" s="7"/>
      <c r="AA922" s="4"/>
      <c r="AB922" s="3"/>
      <c r="AC922" s="3"/>
      <c r="AD922" s="3"/>
      <c r="AE922" s="3"/>
      <c r="AF922" s="3"/>
      <c r="AG922" s="3"/>
    </row>
    <row r="923" customFormat="false" ht="15.75" hidden="false" customHeight="false" outlineLevel="0" collapsed="false">
      <c r="A923" s="3"/>
      <c r="B923" s="3"/>
      <c r="C923" s="4"/>
      <c r="D923" s="4"/>
      <c r="E923" s="5"/>
      <c r="F923" s="6"/>
      <c r="N923" s="7"/>
      <c r="W923" s="4"/>
      <c r="X923" s="4"/>
      <c r="Z923" s="7"/>
      <c r="AA923" s="4"/>
      <c r="AB923" s="3"/>
      <c r="AC923" s="3"/>
      <c r="AD923" s="3"/>
      <c r="AE923" s="3"/>
      <c r="AF923" s="3"/>
      <c r="AG923" s="3"/>
    </row>
    <row r="924" customFormat="false" ht="15.75" hidden="false" customHeight="false" outlineLevel="0" collapsed="false">
      <c r="A924" s="3"/>
      <c r="B924" s="3"/>
      <c r="C924" s="4"/>
      <c r="D924" s="4"/>
      <c r="E924" s="5"/>
      <c r="F924" s="6"/>
      <c r="N924" s="7"/>
      <c r="W924" s="4"/>
      <c r="X924" s="4"/>
      <c r="Z924" s="7"/>
      <c r="AA924" s="4"/>
      <c r="AB924" s="3"/>
      <c r="AC924" s="3"/>
      <c r="AD924" s="3"/>
      <c r="AE924" s="3"/>
      <c r="AF924" s="3"/>
      <c r="AG924" s="3"/>
    </row>
    <row r="925" customFormat="false" ht="15.75" hidden="false" customHeight="false" outlineLevel="0" collapsed="false">
      <c r="A925" s="3"/>
      <c r="B925" s="3"/>
      <c r="C925" s="4"/>
      <c r="D925" s="4"/>
      <c r="E925" s="5"/>
      <c r="F925" s="6"/>
      <c r="N925" s="7"/>
      <c r="W925" s="4"/>
      <c r="X925" s="4"/>
      <c r="Z925" s="7"/>
      <c r="AA925" s="4"/>
      <c r="AB925" s="3"/>
      <c r="AC925" s="3"/>
      <c r="AD925" s="3"/>
      <c r="AE925" s="3"/>
      <c r="AF925" s="3"/>
      <c r="AG925" s="3"/>
    </row>
    <row r="926" customFormat="false" ht="15.75" hidden="false" customHeight="false" outlineLevel="0" collapsed="false">
      <c r="A926" s="3"/>
      <c r="B926" s="3"/>
      <c r="C926" s="4"/>
      <c r="D926" s="4"/>
      <c r="E926" s="5"/>
      <c r="F926" s="6"/>
      <c r="N926" s="7"/>
      <c r="W926" s="4"/>
      <c r="X926" s="4"/>
      <c r="Z926" s="7"/>
      <c r="AA926" s="4"/>
      <c r="AB926" s="3"/>
      <c r="AC926" s="3"/>
      <c r="AD926" s="3"/>
      <c r="AE926" s="3"/>
      <c r="AF926" s="3"/>
      <c r="AG926" s="3"/>
    </row>
    <row r="927" customFormat="false" ht="15.75" hidden="false" customHeight="false" outlineLevel="0" collapsed="false">
      <c r="A927" s="3"/>
      <c r="B927" s="3"/>
      <c r="C927" s="4"/>
      <c r="D927" s="4"/>
      <c r="E927" s="5"/>
      <c r="F927" s="6"/>
      <c r="N927" s="7"/>
      <c r="W927" s="4"/>
      <c r="X927" s="4"/>
      <c r="Z927" s="7"/>
      <c r="AA927" s="4"/>
      <c r="AB927" s="3"/>
      <c r="AC927" s="3"/>
      <c r="AD927" s="3"/>
      <c r="AE927" s="3"/>
      <c r="AF927" s="3"/>
      <c r="AG927" s="3"/>
    </row>
    <row r="928" customFormat="false" ht="15.75" hidden="false" customHeight="false" outlineLevel="0" collapsed="false">
      <c r="A928" s="3"/>
      <c r="B928" s="3"/>
      <c r="C928" s="4"/>
      <c r="D928" s="4"/>
      <c r="E928" s="5"/>
      <c r="F928" s="6"/>
      <c r="N928" s="7"/>
      <c r="W928" s="4"/>
      <c r="X928" s="4"/>
      <c r="Z928" s="7"/>
      <c r="AA928" s="4"/>
      <c r="AB928" s="3"/>
      <c r="AC928" s="3"/>
      <c r="AD928" s="3"/>
      <c r="AE928" s="3"/>
      <c r="AF928" s="3"/>
      <c r="AG928" s="3"/>
    </row>
    <row r="929" customFormat="false" ht="15.75" hidden="false" customHeight="false" outlineLevel="0" collapsed="false">
      <c r="A929" s="3"/>
      <c r="B929" s="3"/>
      <c r="C929" s="4"/>
      <c r="D929" s="4"/>
      <c r="E929" s="5"/>
      <c r="F929" s="6"/>
      <c r="N929" s="7"/>
      <c r="W929" s="4"/>
      <c r="X929" s="4"/>
      <c r="Z929" s="7"/>
      <c r="AA929" s="4"/>
      <c r="AB929" s="3"/>
      <c r="AC929" s="3"/>
      <c r="AD929" s="3"/>
      <c r="AE929" s="3"/>
      <c r="AF929" s="3"/>
      <c r="AG929" s="3"/>
    </row>
    <row r="930" customFormat="false" ht="15.75" hidden="false" customHeight="false" outlineLevel="0" collapsed="false">
      <c r="A930" s="3"/>
      <c r="B930" s="3"/>
      <c r="C930" s="4"/>
      <c r="D930" s="4"/>
      <c r="E930" s="5"/>
      <c r="F930" s="6"/>
      <c r="N930" s="7"/>
      <c r="W930" s="4"/>
      <c r="X930" s="4"/>
      <c r="Z930" s="7"/>
      <c r="AA930" s="4"/>
      <c r="AB930" s="3"/>
      <c r="AC930" s="3"/>
      <c r="AD930" s="3"/>
      <c r="AE930" s="3"/>
      <c r="AF930" s="3"/>
      <c r="AG930" s="3"/>
    </row>
    <row r="931" customFormat="false" ht="15.75" hidden="false" customHeight="false" outlineLevel="0" collapsed="false">
      <c r="A931" s="3"/>
      <c r="B931" s="3"/>
      <c r="C931" s="4"/>
      <c r="D931" s="4"/>
      <c r="E931" s="5"/>
      <c r="F931" s="6"/>
      <c r="N931" s="7"/>
      <c r="W931" s="4"/>
      <c r="X931" s="4"/>
      <c r="Z931" s="7"/>
      <c r="AA931" s="4"/>
      <c r="AB931" s="3"/>
      <c r="AC931" s="3"/>
      <c r="AD931" s="3"/>
      <c r="AE931" s="3"/>
      <c r="AF931" s="3"/>
      <c r="AG931" s="3"/>
    </row>
    <row r="932" customFormat="false" ht="15.75" hidden="false" customHeight="false" outlineLevel="0" collapsed="false">
      <c r="A932" s="3"/>
      <c r="B932" s="3"/>
      <c r="C932" s="4"/>
      <c r="D932" s="4"/>
      <c r="E932" s="5"/>
      <c r="F932" s="6"/>
      <c r="N932" s="7"/>
      <c r="W932" s="4"/>
      <c r="X932" s="4"/>
      <c r="Z932" s="7"/>
      <c r="AA932" s="4"/>
      <c r="AB932" s="3"/>
      <c r="AC932" s="3"/>
      <c r="AD932" s="3"/>
      <c r="AE932" s="3"/>
      <c r="AF932" s="3"/>
      <c r="AG932" s="3"/>
    </row>
    <row r="933" customFormat="false" ht="15.75" hidden="false" customHeight="false" outlineLevel="0" collapsed="false">
      <c r="A933" s="3"/>
      <c r="B933" s="3"/>
      <c r="C933" s="4"/>
      <c r="D933" s="4"/>
      <c r="E933" s="5"/>
      <c r="F933" s="6"/>
      <c r="N933" s="7"/>
      <c r="W933" s="4"/>
      <c r="X933" s="4"/>
      <c r="Z933" s="7"/>
      <c r="AA933" s="4"/>
      <c r="AB933" s="3"/>
      <c r="AC933" s="3"/>
      <c r="AD933" s="3"/>
      <c r="AE933" s="3"/>
      <c r="AF933" s="3"/>
      <c r="AG933" s="3"/>
    </row>
    <row r="934" customFormat="false" ht="15.75" hidden="false" customHeight="false" outlineLevel="0" collapsed="false">
      <c r="A934" s="3"/>
      <c r="B934" s="3"/>
      <c r="C934" s="4"/>
      <c r="D934" s="4"/>
      <c r="E934" s="5"/>
      <c r="F934" s="6"/>
      <c r="N934" s="7"/>
      <c r="W934" s="4"/>
      <c r="X934" s="4"/>
      <c r="Z934" s="7"/>
      <c r="AA934" s="4"/>
      <c r="AB934" s="3"/>
      <c r="AC934" s="3"/>
      <c r="AD934" s="3"/>
      <c r="AE934" s="3"/>
      <c r="AF934" s="3"/>
      <c r="AG934" s="3"/>
    </row>
    <row r="935" customFormat="false" ht="15.75" hidden="false" customHeight="false" outlineLevel="0" collapsed="false">
      <c r="A935" s="3"/>
      <c r="B935" s="3"/>
      <c r="C935" s="4"/>
      <c r="D935" s="4"/>
      <c r="E935" s="5"/>
      <c r="F935" s="6"/>
      <c r="N935" s="7"/>
      <c r="W935" s="4"/>
      <c r="X935" s="4"/>
      <c r="Z935" s="7"/>
      <c r="AA935" s="4"/>
      <c r="AB935" s="3"/>
      <c r="AC935" s="3"/>
      <c r="AD935" s="3"/>
      <c r="AE935" s="3"/>
      <c r="AF935" s="3"/>
      <c r="AG935" s="3"/>
    </row>
    <row r="936" customFormat="false" ht="15.75" hidden="false" customHeight="false" outlineLevel="0" collapsed="false">
      <c r="A936" s="3"/>
      <c r="B936" s="3"/>
      <c r="C936" s="4"/>
      <c r="D936" s="4"/>
      <c r="E936" s="5"/>
      <c r="F936" s="6"/>
      <c r="N936" s="7"/>
      <c r="W936" s="4"/>
      <c r="X936" s="4"/>
      <c r="Z936" s="7"/>
      <c r="AA936" s="4"/>
      <c r="AB936" s="3"/>
      <c r="AC936" s="3"/>
      <c r="AD936" s="3"/>
      <c r="AE936" s="3"/>
      <c r="AF936" s="3"/>
      <c r="AG936" s="3"/>
    </row>
    <row r="937" customFormat="false" ht="15.75" hidden="false" customHeight="false" outlineLevel="0" collapsed="false">
      <c r="A937" s="3"/>
      <c r="B937" s="3"/>
      <c r="C937" s="4"/>
      <c r="D937" s="4"/>
      <c r="E937" s="5"/>
      <c r="F937" s="6"/>
      <c r="N937" s="7"/>
      <c r="W937" s="4"/>
      <c r="X937" s="4"/>
      <c r="Z937" s="7"/>
      <c r="AA937" s="4"/>
      <c r="AB937" s="3"/>
      <c r="AC937" s="3"/>
      <c r="AD937" s="3"/>
      <c r="AE937" s="3"/>
      <c r="AF937" s="3"/>
      <c r="AG937" s="3"/>
    </row>
    <row r="938" customFormat="false" ht="15.75" hidden="false" customHeight="false" outlineLevel="0" collapsed="false">
      <c r="A938" s="3"/>
      <c r="B938" s="3"/>
      <c r="C938" s="4"/>
      <c r="D938" s="4"/>
      <c r="E938" s="5"/>
      <c r="F938" s="6"/>
      <c r="N938" s="7"/>
      <c r="W938" s="4"/>
      <c r="X938" s="4"/>
      <c r="Z938" s="7"/>
      <c r="AA938" s="4"/>
      <c r="AB938" s="3"/>
      <c r="AC938" s="3"/>
      <c r="AD938" s="3"/>
      <c r="AE938" s="3"/>
      <c r="AF938" s="3"/>
      <c r="AG938" s="3"/>
    </row>
    <row r="939" customFormat="false" ht="15.75" hidden="false" customHeight="false" outlineLevel="0" collapsed="false">
      <c r="A939" s="3"/>
      <c r="B939" s="3"/>
      <c r="C939" s="4"/>
      <c r="D939" s="4"/>
      <c r="E939" s="5"/>
      <c r="F939" s="6"/>
      <c r="N939" s="7"/>
      <c r="W939" s="4"/>
      <c r="X939" s="4"/>
      <c r="Z939" s="7"/>
      <c r="AA939" s="4"/>
      <c r="AB939" s="3"/>
      <c r="AC939" s="3"/>
      <c r="AD939" s="3"/>
      <c r="AE939" s="3"/>
      <c r="AF939" s="3"/>
      <c r="AG939" s="3"/>
    </row>
    <row r="940" customFormat="false" ht="15.75" hidden="false" customHeight="false" outlineLevel="0" collapsed="false">
      <c r="A940" s="3"/>
      <c r="B940" s="3"/>
      <c r="C940" s="4"/>
      <c r="D940" s="4"/>
      <c r="E940" s="5"/>
      <c r="F940" s="6"/>
      <c r="N940" s="7"/>
      <c r="W940" s="4"/>
      <c r="X940" s="4"/>
      <c r="Z940" s="7"/>
      <c r="AA940" s="4"/>
      <c r="AB940" s="3"/>
      <c r="AC940" s="3"/>
      <c r="AD940" s="3"/>
      <c r="AE940" s="3"/>
      <c r="AF940" s="3"/>
      <c r="AG940" s="3"/>
    </row>
    <row r="941" customFormat="false" ht="15.75" hidden="false" customHeight="false" outlineLevel="0" collapsed="false">
      <c r="A941" s="3"/>
      <c r="B941" s="3"/>
      <c r="C941" s="4"/>
      <c r="D941" s="4"/>
      <c r="E941" s="5"/>
      <c r="F941" s="6"/>
      <c r="N941" s="7"/>
      <c r="W941" s="4"/>
      <c r="X941" s="4"/>
      <c r="Z941" s="7"/>
      <c r="AA941" s="4"/>
      <c r="AB941" s="3"/>
      <c r="AC941" s="3"/>
      <c r="AD941" s="3"/>
      <c r="AE941" s="3"/>
      <c r="AF941" s="3"/>
      <c r="AG941" s="3"/>
    </row>
    <row r="942" customFormat="false" ht="15.75" hidden="false" customHeight="false" outlineLevel="0" collapsed="false">
      <c r="A942" s="3"/>
      <c r="B942" s="3"/>
      <c r="C942" s="4"/>
      <c r="D942" s="4"/>
      <c r="E942" s="5"/>
      <c r="F942" s="6"/>
      <c r="N942" s="7"/>
      <c r="W942" s="4"/>
      <c r="X942" s="4"/>
      <c r="Z942" s="7"/>
      <c r="AA942" s="4"/>
      <c r="AB942" s="3"/>
      <c r="AC942" s="3"/>
      <c r="AD942" s="3"/>
      <c r="AE942" s="3"/>
      <c r="AF942" s="3"/>
      <c r="AG942" s="3"/>
    </row>
    <row r="943" customFormat="false" ht="15.75" hidden="false" customHeight="false" outlineLevel="0" collapsed="false">
      <c r="A943" s="3"/>
      <c r="B943" s="3"/>
      <c r="C943" s="4"/>
      <c r="D943" s="4"/>
      <c r="E943" s="5"/>
      <c r="F943" s="6"/>
      <c r="N943" s="7"/>
      <c r="W943" s="4"/>
      <c r="X943" s="4"/>
      <c r="Z943" s="7"/>
      <c r="AA943" s="4"/>
      <c r="AB943" s="3"/>
      <c r="AC943" s="3"/>
      <c r="AD943" s="3"/>
      <c r="AE943" s="3"/>
      <c r="AF943" s="3"/>
      <c r="AG943" s="3"/>
    </row>
    <row r="944" customFormat="false" ht="15.75" hidden="false" customHeight="false" outlineLevel="0" collapsed="false">
      <c r="A944" s="3"/>
      <c r="B944" s="3"/>
      <c r="C944" s="4"/>
      <c r="D944" s="4"/>
      <c r="E944" s="5"/>
      <c r="F944" s="6"/>
      <c r="N944" s="7"/>
      <c r="W944" s="4"/>
      <c r="X944" s="4"/>
      <c r="Z944" s="7"/>
      <c r="AA944" s="4"/>
      <c r="AB944" s="3"/>
      <c r="AC944" s="3"/>
      <c r="AD944" s="3"/>
      <c r="AE944" s="3"/>
      <c r="AF944" s="3"/>
      <c r="AG944" s="3"/>
    </row>
    <row r="945" customFormat="false" ht="15.75" hidden="false" customHeight="false" outlineLevel="0" collapsed="false">
      <c r="A945" s="3"/>
      <c r="B945" s="3"/>
      <c r="C945" s="4"/>
      <c r="D945" s="4"/>
      <c r="E945" s="5"/>
      <c r="F945" s="6"/>
      <c r="N945" s="7"/>
      <c r="W945" s="4"/>
      <c r="X945" s="4"/>
      <c r="Z945" s="7"/>
      <c r="AA945" s="4"/>
      <c r="AB945" s="3"/>
      <c r="AC945" s="3"/>
      <c r="AD945" s="3"/>
      <c r="AE945" s="3"/>
      <c r="AF945" s="3"/>
      <c r="AG945" s="3"/>
    </row>
    <row r="946" customFormat="false" ht="15.75" hidden="false" customHeight="false" outlineLevel="0" collapsed="false">
      <c r="A946" s="3"/>
      <c r="B946" s="3"/>
      <c r="C946" s="4"/>
      <c r="D946" s="4"/>
      <c r="E946" s="5"/>
      <c r="F946" s="6"/>
      <c r="N946" s="7"/>
      <c r="W946" s="4"/>
      <c r="X946" s="4"/>
      <c r="Z946" s="7"/>
      <c r="AA946" s="4"/>
      <c r="AB946" s="3"/>
      <c r="AC946" s="3"/>
      <c r="AD946" s="3"/>
      <c r="AE946" s="3"/>
      <c r="AF946" s="3"/>
      <c r="AG946" s="3"/>
    </row>
    <row r="947" customFormat="false" ht="15.75" hidden="false" customHeight="false" outlineLevel="0" collapsed="false">
      <c r="A947" s="3"/>
      <c r="B947" s="3"/>
      <c r="C947" s="4"/>
      <c r="D947" s="4"/>
      <c r="E947" s="5"/>
      <c r="F947" s="6"/>
      <c r="N947" s="7"/>
      <c r="W947" s="4"/>
      <c r="X947" s="4"/>
      <c r="Z947" s="7"/>
      <c r="AA947" s="4"/>
      <c r="AB947" s="3"/>
      <c r="AC947" s="3"/>
      <c r="AD947" s="3"/>
      <c r="AE947" s="3"/>
      <c r="AF947" s="3"/>
      <c r="AG947" s="3"/>
    </row>
    <row r="948" customFormat="false" ht="15.75" hidden="false" customHeight="false" outlineLevel="0" collapsed="false">
      <c r="A948" s="3"/>
      <c r="B948" s="3"/>
      <c r="C948" s="4"/>
      <c r="D948" s="4"/>
      <c r="E948" s="5"/>
      <c r="F948" s="6"/>
      <c r="N948" s="7"/>
      <c r="W948" s="4"/>
      <c r="X948" s="4"/>
      <c r="Z948" s="7"/>
      <c r="AA948" s="4"/>
      <c r="AB948" s="3"/>
      <c r="AC948" s="3"/>
      <c r="AD948" s="3"/>
      <c r="AE948" s="3"/>
      <c r="AF948" s="3"/>
      <c r="AG948" s="3"/>
    </row>
    <row r="949" customFormat="false" ht="15.75" hidden="false" customHeight="false" outlineLevel="0" collapsed="false">
      <c r="A949" s="3"/>
      <c r="B949" s="3"/>
      <c r="C949" s="4"/>
      <c r="D949" s="4"/>
      <c r="E949" s="5"/>
      <c r="F949" s="6"/>
      <c r="N949" s="7"/>
      <c r="W949" s="4"/>
      <c r="X949" s="4"/>
      <c r="Z949" s="7"/>
      <c r="AA949" s="4"/>
      <c r="AB949" s="3"/>
      <c r="AC949" s="3"/>
      <c r="AD949" s="3"/>
      <c r="AE949" s="3"/>
      <c r="AF949" s="3"/>
      <c r="AG949" s="3"/>
    </row>
    <row r="950" customFormat="false" ht="15.75" hidden="false" customHeight="false" outlineLevel="0" collapsed="false">
      <c r="A950" s="3"/>
      <c r="B950" s="3"/>
      <c r="C950" s="4"/>
      <c r="D950" s="4"/>
      <c r="E950" s="5"/>
      <c r="F950" s="6"/>
      <c r="N950" s="7"/>
      <c r="W950" s="4"/>
      <c r="X950" s="4"/>
      <c r="Z950" s="7"/>
      <c r="AA950" s="4"/>
      <c r="AB950" s="3"/>
      <c r="AC950" s="3"/>
      <c r="AD950" s="3"/>
      <c r="AE950" s="3"/>
      <c r="AF950" s="3"/>
      <c r="AG950" s="3"/>
    </row>
    <row r="951" customFormat="false" ht="15.75" hidden="false" customHeight="false" outlineLevel="0" collapsed="false">
      <c r="A951" s="3"/>
      <c r="B951" s="3"/>
      <c r="C951" s="4"/>
      <c r="D951" s="4"/>
      <c r="E951" s="5"/>
      <c r="F951" s="6"/>
      <c r="N951" s="7"/>
      <c r="W951" s="4"/>
      <c r="X951" s="4"/>
      <c r="Z951" s="7"/>
      <c r="AA951" s="4"/>
      <c r="AB951" s="3"/>
      <c r="AC951" s="3"/>
      <c r="AD951" s="3"/>
      <c r="AE951" s="3"/>
      <c r="AF951" s="3"/>
      <c r="AG951" s="3"/>
    </row>
    <row r="952" customFormat="false" ht="15.75" hidden="false" customHeight="false" outlineLevel="0" collapsed="false">
      <c r="A952" s="3"/>
      <c r="B952" s="3"/>
      <c r="C952" s="4"/>
      <c r="D952" s="4"/>
      <c r="E952" s="5"/>
      <c r="F952" s="6"/>
      <c r="N952" s="7"/>
      <c r="W952" s="4"/>
      <c r="X952" s="4"/>
      <c r="Z952" s="7"/>
      <c r="AA952" s="4"/>
      <c r="AB952" s="3"/>
      <c r="AC952" s="3"/>
      <c r="AD952" s="3"/>
      <c r="AE952" s="3"/>
      <c r="AF952" s="3"/>
      <c r="AG952" s="3"/>
    </row>
    <row r="953" customFormat="false" ht="15.75" hidden="false" customHeight="false" outlineLevel="0" collapsed="false">
      <c r="A953" s="3"/>
      <c r="B953" s="3"/>
      <c r="C953" s="4"/>
      <c r="D953" s="4"/>
      <c r="E953" s="5"/>
      <c r="F953" s="6"/>
      <c r="N953" s="7"/>
      <c r="W953" s="4"/>
      <c r="X953" s="4"/>
      <c r="Z953" s="7"/>
      <c r="AA953" s="4"/>
      <c r="AB953" s="3"/>
      <c r="AC953" s="3"/>
      <c r="AD953" s="3"/>
      <c r="AE953" s="3"/>
      <c r="AF953" s="3"/>
      <c r="AG953" s="3"/>
    </row>
    <row r="954" customFormat="false" ht="15.75" hidden="false" customHeight="false" outlineLevel="0" collapsed="false">
      <c r="A954" s="3"/>
      <c r="B954" s="3"/>
      <c r="C954" s="4"/>
      <c r="D954" s="4"/>
      <c r="E954" s="5"/>
      <c r="F954" s="6"/>
      <c r="N954" s="7"/>
      <c r="W954" s="4"/>
      <c r="X954" s="4"/>
      <c r="Z954" s="7"/>
      <c r="AA954" s="4"/>
      <c r="AB954" s="3"/>
      <c r="AC954" s="3"/>
      <c r="AD954" s="3"/>
      <c r="AE954" s="3"/>
      <c r="AF954" s="3"/>
      <c r="AG954" s="3"/>
    </row>
    <row r="955" customFormat="false" ht="15.75" hidden="false" customHeight="false" outlineLevel="0" collapsed="false">
      <c r="A955" s="3"/>
      <c r="B955" s="3"/>
      <c r="C955" s="4"/>
      <c r="D955" s="4"/>
      <c r="E955" s="5"/>
      <c r="F955" s="6"/>
      <c r="N955" s="7"/>
      <c r="W955" s="4"/>
      <c r="X955" s="4"/>
      <c r="Z955" s="7"/>
      <c r="AA955" s="4"/>
      <c r="AB955" s="3"/>
      <c r="AC955" s="3"/>
      <c r="AD955" s="3"/>
      <c r="AE955" s="3"/>
      <c r="AF955" s="3"/>
      <c r="AG955" s="3"/>
    </row>
    <row r="956" customFormat="false" ht="15.75" hidden="false" customHeight="false" outlineLevel="0" collapsed="false">
      <c r="A956" s="3"/>
      <c r="B956" s="3"/>
      <c r="C956" s="4"/>
      <c r="D956" s="4"/>
      <c r="E956" s="5"/>
      <c r="F956" s="6"/>
      <c r="N956" s="7"/>
      <c r="W956" s="4"/>
      <c r="X956" s="4"/>
      <c r="Z956" s="7"/>
      <c r="AA956" s="4"/>
      <c r="AB956" s="3"/>
      <c r="AC956" s="3"/>
      <c r="AD956" s="3"/>
      <c r="AE956" s="3"/>
      <c r="AF956" s="3"/>
      <c r="AG956" s="3"/>
    </row>
    <row r="957" customFormat="false" ht="15.75" hidden="false" customHeight="false" outlineLevel="0" collapsed="false">
      <c r="A957" s="3"/>
      <c r="B957" s="3"/>
      <c r="C957" s="4"/>
      <c r="D957" s="4"/>
      <c r="E957" s="5"/>
      <c r="F957" s="6"/>
      <c r="N957" s="7"/>
      <c r="W957" s="4"/>
      <c r="X957" s="4"/>
      <c r="Z957" s="7"/>
      <c r="AA957" s="4"/>
      <c r="AB957" s="3"/>
      <c r="AC957" s="3"/>
      <c r="AD957" s="3"/>
      <c r="AE957" s="3"/>
      <c r="AF957" s="3"/>
      <c r="AG957" s="3"/>
    </row>
    <row r="958" customFormat="false" ht="15.75" hidden="false" customHeight="false" outlineLevel="0" collapsed="false">
      <c r="A958" s="3"/>
      <c r="B958" s="3"/>
      <c r="C958" s="4"/>
      <c r="D958" s="4"/>
      <c r="E958" s="5"/>
      <c r="F958" s="6"/>
      <c r="N958" s="7"/>
      <c r="W958" s="4"/>
      <c r="X958" s="4"/>
      <c r="Z958" s="7"/>
      <c r="AA958" s="4"/>
      <c r="AB958" s="3"/>
      <c r="AC958" s="3"/>
      <c r="AD958" s="3"/>
      <c r="AE958" s="3"/>
      <c r="AF958" s="3"/>
      <c r="AG958" s="3"/>
    </row>
    <row r="959" customFormat="false" ht="15.75" hidden="false" customHeight="false" outlineLevel="0" collapsed="false">
      <c r="A959" s="3"/>
      <c r="B959" s="3"/>
      <c r="C959" s="4"/>
      <c r="D959" s="4"/>
      <c r="E959" s="5"/>
      <c r="F959" s="6"/>
      <c r="N959" s="7"/>
      <c r="W959" s="4"/>
      <c r="X959" s="4"/>
      <c r="Z959" s="7"/>
      <c r="AA959" s="4"/>
      <c r="AB959" s="3"/>
      <c r="AC959" s="3"/>
      <c r="AD959" s="3"/>
      <c r="AE959" s="3"/>
      <c r="AF959" s="3"/>
      <c r="AG959" s="3"/>
    </row>
    <row r="960" customFormat="false" ht="15.75" hidden="false" customHeight="false" outlineLevel="0" collapsed="false">
      <c r="A960" s="3"/>
      <c r="B960" s="3"/>
      <c r="C960" s="4"/>
      <c r="D960" s="4"/>
      <c r="E960" s="5"/>
      <c r="F960" s="6"/>
      <c r="N960" s="7"/>
      <c r="W960" s="4"/>
      <c r="X960" s="4"/>
      <c r="Z960" s="7"/>
      <c r="AA960" s="4"/>
      <c r="AB960" s="3"/>
      <c r="AC960" s="3"/>
      <c r="AD960" s="3"/>
      <c r="AE960" s="3"/>
      <c r="AF960" s="3"/>
      <c r="AG960" s="3"/>
    </row>
    <row r="961" customFormat="false" ht="15.75" hidden="false" customHeight="false" outlineLevel="0" collapsed="false">
      <c r="A961" s="3"/>
      <c r="B961" s="3"/>
      <c r="C961" s="4"/>
      <c r="D961" s="4"/>
      <c r="E961" s="5"/>
      <c r="F961" s="6"/>
      <c r="N961" s="7"/>
      <c r="W961" s="4"/>
      <c r="X961" s="4"/>
      <c r="Z961" s="7"/>
      <c r="AA961" s="4"/>
      <c r="AB961" s="3"/>
      <c r="AC961" s="3"/>
      <c r="AD961" s="3"/>
      <c r="AE961" s="3"/>
      <c r="AF961" s="3"/>
      <c r="AG961" s="3"/>
    </row>
    <row r="962" customFormat="false" ht="15.75" hidden="false" customHeight="false" outlineLevel="0" collapsed="false">
      <c r="A962" s="3"/>
      <c r="B962" s="3"/>
      <c r="C962" s="4"/>
      <c r="D962" s="4"/>
      <c r="E962" s="5"/>
      <c r="F962" s="6"/>
      <c r="N962" s="7"/>
      <c r="W962" s="4"/>
      <c r="X962" s="4"/>
      <c r="Z962" s="7"/>
      <c r="AA962" s="4"/>
      <c r="AB962" s="3"/>
      <c r="AC962" s="3"/>
      <c r="AD962" s="3"/>
      <c r="AE962" s="3"/>
      <c r="AF962" s="3"/>
      <c r="AG962" s="3"/>
    </row>
    <row r="963" customFormat="false" ht="15.75" hidden="false" customHeight="false" outlineLevel="0" collapsed="false">
      <c r="A963" s="3"/>
      <c r="B963" s="3"/>
      <c r="C963" s="4"/>
      <c r="D963" s="4"/>
      <c r="E963" s="5"/>
      <c r="F963" s="6"/>
      <c r="N963" s="7"/>
      <c r="W963" s="4"/>
      <c r="X963" s="4"/>
      <c r="Z963" s="7"/>
      <c r="AA963" s="4"/>
      <c r="AB963" s="3"/>
      <c r="AC963" s="3"/>
      <c r="AD963" s="3"/>
      <c r="AE963" s="3"/>
      <c r="AF963" s="3"/>
      <c r="AG963" s="3"/>
    </row>
    <row r="964" customFormat="false" ht="15.75" hidden="false" customHeight="false" outlineLevel="0" collapsed="false">
      <c r="A964" s="3"/>
      <c r="B964" s="3"/>
      <c r="C964" s="4"/>
      <c r="D964" s="4"/>
      <c r="E964" s="5"/>
      <c r="F964" s="6"/>
      <c r="N964" s="7"/>
      <c r="W964" s="4"/>
      <c r="X964" s="4"/>
      <c r="Z964" s="7"/>
      <c r="AA964" s="4"/>
      <c r="AB964" s="3"/>
      <c r="AC964" s="3"/>
      <c r="AD964" s="3"/>
      <c r="AE964" s="3"/>
      <c r="AF964" s="3"/>
      <c r="AG964" s="3"/>
    </row>
    <row r="965" customFormat="false" ht="15.75" hidden="false" customHeight="false" outlineLevel="0" collapsed="false">
      <c r="A965" s="3"/>
      <c r="B965" s="3"/>
      <c r="C965" s="4"/>
      <c r="D965" s="4"/>
      <c r="E965" s="5"/>
      <c r="F965" s="6"/>
      <c r="N965" s="7"/>
      <c r="W965" s="4"/>
      <c r="X965" s="4"/>
      <c r="Z965" s="7"/>
      <c r="AA965" s="4"/>
      <c r="AB965" s="3"/>
      <c r="AC965" s="3"/>
      <c r="AD965" s="3"/>
      <c r="AE965" s="3"/>
      <c r="AF965" s="3"/>
      <c r="AG965" s="3"/>
    </row>
    <row r="966" customFormat="false" ht="15.75" hidden="false" customHeight="false" outlineLevel="0" collapsed="false">
      <c r="A966" s="3"/>
      <c r="B966" s="3"/>
      <c r="C966" s="4"/>
      <c r="D966" s="4"/>
      <c r="E966" s="5"/>
      <c r="F966" s="6"/>
      <c r="N966" s="7"/>
      <c r="W966" s="4"/>
      <c r="X966" s="4"/>
      <c r="Z966" s="7"/>
      <c r="AA966" s="4"/>
      <c r="AB966" s="3"/>
      <c r="AC966" s="3"/>
      <c r="AD966" s="3"/>
      <c r="AE966" s="3"/>
      <c r="AF966" s="3"/>
      <c r="AG966" s="3"/>
    </row>
    <row r="967" customFormat="false" ht="15.75" hidden="false" customHeight="false" outlineLevel="0" collapsed="false">
      <c r="A967" s="3"/>
      <c r="B967" s="3"/>
      <c r="C967" s="4"/>
      <c r="D967" s="4"/>
      <c r="E967" s="5"/>
      <c r="F967" s="6"/>
      <c r="N967" s="7"/>
      <c r="W967" s="4"/>
      <c r="X967" s="4"/>
      <c r="Z967" s="7"/>
      <c r="AA967" s="4"/>
      <c r="AB967" s="3"/>
      <c r="AC967" s="3"/>
      <c r="AD967" s="3"/>
      <c r="AE967" s="3"/>
      <c r="AF967" s="3"/>
      <c r="AG967" s="3"/>
    </row>
    <row r="968" customFormat="false" ht="15.75" hidden="false" customHeight="false" outlineLevel="0" collapsed="false">
      <c r="A968" s="3"/>
      <c r="B968" s="3"/>
      <c r="C968" s="4"/>
      <c r="D968" s="4"/>
      <c r="E968" s="5"/>
      <c r="F968" s="6"/>
      <c r="N968" s="7"/>
      <c r="W968" s="4"/>
      <c r="X968" s="4"/>
      <c r="Z968" s="7"/>
      <c r="AA968" s="4"/>
      <c r="AB968" s="3"/>
      <c r="AC968" s="3"/>
      <c r="AD968" s="3"/>
      <c r="AE968" s="3"/>
      <c r="AF968" s="3"/>
      <c r="AG968" s="3"/>
    </row>
    <row r="969" customFormat="false" ht="15.75" hidden="false" customHeight="false" outlineLevel="0" collapsed="false">
      <c r="A969" s="3"/>
      <c r="B969" s="3"/>
      <c r="C969" s="4"/>
      <c r="D969" s="4"/>
      <c r="E969" s="5"/>
      <c r="F969" s="6"/>
      <c r="N969" s="7"/>
      <c r="W969" s="4"/>
      <c r="X969" s="4"/>
      <c r="Z969" s="7"/>
      <c r="AA969" s="4"/>
      <c r="AB969" s="3"/>
      <c r="AC969" s="3"/>
      <c r="AD969" s="3"/>
      <c r="AE969" s="3"/>
      <c r="AF969" s="3"/>
      <c r="AG969" s="3"/>
    </row>
    <row r="970" customFormat="false" ht="15.75" hidden="false" customHeight="false" outlineLevel="0" collapsed="false">
      <c r="A970" s="3"/>
      <c r="B970" s="3"/>
      <c r="C970" s="4"/>
      <c r="D970" s="4"/>
      <c r="E970" s="5"/>
      <c r="F970" s="6"/>
      <c r="N970" s="7"/>
      <c r="W970" s="4"/>
      <c r="X970" s="4"/>
      <c r="Z970" s="7"/>
      <c r="AA970" s="4"/>
      <c r="AB970" s="3"/>
      <c r="AC970" s="3"/>
      <c r="AD970" s="3"/>
      <c r="AE970" s="3"/>
      <c r="AF970" s="3"/>
      <c r="AG970" s="3"/>
    </row>
    <row r="971" customFormat="false" ht="15.75" hidden="false" customHeight="false" outlineLevel="0" collapsed="false">
      <c r="A971" s="3"/>
      <c r="B971" s="3"/>
      <c r="C971" s="4"/>
      <c r="D971" s="4"/>
      <c r="E971" s="5"/>
      <c r="F971" s="6"/>
      <c r="N971" s="7"/>
      <c r="W971" s="4"/>
      <c r="X971" s="4"/>
      <c r="Z971" s="7"/>
      <c r="AA971" s="4"/>
      <c r="AB971" s="3"/>
      <c r="AC971" s="3"/>
      <c r="AD971" s="3"/>
      <c r="AE971" s="3"/>
      <c r="AF971" s="3"/>
      <c r="AG971" s="3"/>
    </row>
    <row r="972" customFormat="false" ht="15.75" hidden="false" customHeight="false" outlineLevel="0" collapsed="false">
      <c r="A972" s="3"/>
      <c r="B972" s="3"/>
      <c r="C972" s="4"/>
      <c r="D972" s="4"/>
      <c r="E972" s="5"/>
      <c r="F972" s="6"/>
      <c r="N972" s="7"/>
      <c r="W972" s="4"/>
      <c r="X972" s="4"/>
      <c r="Z972" s="7"/>
      <c r="AA972" s="4"/>
      <c r="AB972" s="3"/>
      <c r="AC972" s="3"/>
      <c r="AD972" s="3"/>
      <c r="AE972" s="3"/>
      <c r="AF972" s="3"/>
      <c r="AG972" s="3"/>
    </row>
    <row r="973" customFormat="false" ht="15.75" hidden="false" customHeight="false" outlineLevel="0" collapsed="false">
      <c r="A973" s="3"/>
      <c r="B973" s="3"/>
      <c r="C973" s="4"/>
      <c r="D973" s="4"/>
      <c r="E973" s="5"/>
      <c r="F973" s="6"/>
      <c r="N973" s="7"/>
      <c r="W973" s="4"/>
      <c r="X973" s="4"/>
      <c r="Z973" s="7"/>
      <c r="AA973" s="4"/>
      <c r="AB973" s="3"/>
      <c r="AC973" s="3"/>
      <c r="AD973" s="3"/>
      <c r="AE973" s="3"/>
      <c r="AF973" s="3"/>
      <c r="AG973" s="3"/>
    </row>
    <row r="974" customFormat="false" ht="15.75" hidden="false" customHeight="false" outlineLevel="0" collapsed="false">
      <c r="A974" s="3"/>
      <c r="B974" s="3"/>
      <c r="C974" s="4"/>
      <c r="D974" s="4"/>
      <c r="E974" s="5"/>
      <c r="F974" s="6"/>
      <c r="N974" s="7"/>
      <c r="W974" s="4"/>
      <c r="X974" s="4"/>
      <c r="Z974" s="7"/>
      <c r="AA974" s="4"/>
      <c r="AB974" s="3"/>
      <c r="AC974" s="3"/>
      <c r="AD974" s="3"/>
      <c r="AE974" s="3"/>
      <c r="AF974" s="3"/>
      <c r="AG974" s="3"/>
    </row>
    <row r="975" customFormat="false" ht="15.75" hidden="false" customHeight="false" outlineLevel="0" collapsed="false">
      <c r="A975" s="3"/>
      <c r="B975" s="3"/>
      <c r="C975" s="4"/>
      <c r="D975" s="4"/>
      <c r="E975" s="5"/>
      <c r="F975" s="6"/>
      <c r="N975" s="7"/>
      <c r="W975" s="4"/>
      <c r="X975" s="4"/>
      <c r="Z975" s="7"/>
      <c r="AA975" s="4"/>
      <c r="AB975" s="3"/>
      <c r="AC975" s="3"/>
      <c r="AD975" s="3"/>
      <c r="AE975" s="3"/>
      <c r="AF975" s="3"/>
      <c r="AG975" s="3"/>
    </row>
    <row r="976" customFormat="false" ht="15.75" hidden="false" customHeight="false" outlineLevel="0" collapsed="false">
      <c r="A976" s="3"/>
      <c r="B976" s="3"/>
      <c r="C976" s="4"/>
      <c r="D976" s="4"/>
      <c r="E976" s="5"/>
      <c r="F976" s="6"/>
      <c r="N976" s="7"/>
      <c r="W976" s="4"/>
      <c r="X976" s="4"/>
      <c r="Z976" s="7"/>
      <c r="AA976" s="4"/>
      <c r="AB976" s="3"/>
      <c r="AC976" s="3"/>
      <c r="AD976" s="3"/>
      <c r="AE976" s="3"/>
      <c r="AF976" s="3"/>
      <c r="AG976" s="3"/>
    </row>
    <row r="977" customFormat="false" ht="15.75" hidden="false" customHeight="false" outlineLevel="0" collapsed="false">
      <c r="A977" s="3"/>
      <c r="B977" s="3"/>
      <c r="C977" s="4"/>
      <c r="D977" s="4"/>
      <c r="E977" s="5"/>
      <c r="F977" s="6"/>
      <c r="N977" s="7"/>
      <c r="W977" s="4"/>
      <c r="X977" s="4"/>
      <c r="Z977" s="7"/>
      <c r="AA977" s="4"/>
      <c r="AB977" s="3"/>
      <c r="AC977" s="3"/>
      <c r="AD977" s="3"/>
      <c r="AE977" s="3"/>
      <c r="AF977" s="3"/>
      <c r="AG977" s="3"/>
    </row>
    <row r="978" customFormat="false" ht="15.75" hidden="false" customHeight="false" outlineLevel="0" collapsed="false">
      <c r="A978" s="3"/>
      <c r="B978" s="3"/>
      <c r="C978" s="4"/>
      <c r="D978" s="4"/>
      <c r="E978" s="5"/>
      <c r="F978" s="6"/>
      <c r="N978" s="7"/>
      <c r="W978" s="4"/>
      <c r="X978" s="4"/>
      <c r="Z978" s="7"/>
      <c r="AA978" s="4"/>
      <c r="AB978" s="3"/>
      <c r="AC978" s="3"/>
      <c r="AD978" s="3"/>
      <c r="AE978" s="3"/>
      <c r="AF978" s="3"/>
      <c r="AG978" s="3"/>
    </row>
    <row r="979" customFormat="false" ht="15.75" hidden="false" customHeight="false" outlineLevel="0" collapsed="false">
      <c r="A979" s="3"/>
      <c r="B979" s="3"/>
      <c r="C979" s="4"/>
      <c r="D979" s="4"/>
      <c r="E979" s="5"/>
      <c r="F979" s="6"/>
      <c r="N979" s="7"/>
      <c r="W979" s="4"/>
      <c r="X979" s="4"/>
      <c r="Z979" s="7"/>
      <c r="AA979" s="4"/>
      <c r="AB979" s="3"/>
      <c r="AC979" s="3"/>
      <c r="AD979" s="3"/>
      <c r="AE979" s="3"/>
      <c r="AF979" s="3"/>
      <c r="AG979" s="3"/>
    </row>
    <row r="980" customFormat="false" ht="15.75" hidden="false" customHeight="false" outlineLevel="0" collapsed="false">
      <c r="A980" s="3"/>
      <c r="B980" s="3"/>
      <c r="C980" s="4"/>
      <c r="D980" s="4"/>
      <c r="E980" s="5"/>
      <c r="F980" s="6"/>
      <c r="N980" s="7"/>
      <c r="W980" s="4"/>
      <c r="X980" s="4"/>
      <c r="Z980" s="7"/>
      <c r="AA980" s="4"/>
      <c r="AB980" s="3"/>
      <c r="AC980" s="3"/>
      <c r="AD980" s="3"/>
      <c r="AE980" s="3"/>
      <c r="AF980" s="3"/>
      <c r="AG980" s="3"/>
    </row>
    <row r="981" customFormat="false" ht="15.75" hidden="false" customHeight="false" outlineLevel="0" collapsed="false">
      <c r="A981" s="3"/>
      <c r="B981" s="3"/>
      <c r="C981" s="4"/>
      <c r="D981" s="4"/>
      <c r="E981" s="5"/>
      <c r="F981" s="6"/>
      <c r="N981" s="7"/>
      <c r="W981" s="4"/>
      <c r="X981" s="4"/>
      <c r="Z981" s="7"/>
      <c r="AA981" s="4"/>
      <c r="AB981" s="3"/>
      <c r="AC981" s="3"/>
      <c r="AD981" s="3"/>
      <c r="AE981" s="3"/>
      <c r="AF981" s="3"/>
      <c r="AG981" s="3"/>
    </row>
    <row r="982" customFormat="false" ht="15.75" hidden="false" customHeight="false" outlineLevel="0" collapsed="false">
      <c r="A982" s="3"/>
      <c r="B982" s="3"/>
      <c r="C982" s="4"/>
      <c r="D982" s="4"/>
      <c r="E982" s="5"/>
      <c r="F982" s="6"/>
      <c r="N982" s="7"/>
      <c r="W982" s="4"/>
      <c r="X982" s="4"/>
      <c r="Z982" s="7"/>
      <c r="AA982" s="4"/>
      <c r="AB982" s="3"/>
      <c r="AC982" s="3"/>
      <c r="AD982" s="3"/>
      <c r="AE982" s="3"/>
      <c r="AF982" s="3"/>
      <c r="AG982" s="3"/>
    </row>
    <row r="983" customFormat="false" ht="15.75" hidden="false" customHeight="false" outlineLevel="0" collapsed="false">
      <c r="A983" s="3"/>
      <c r="B983" s="3"/>
      <c r="C983" s="4"/>
      <c r="D983" s="4"/>
      <c r="E983" s="5"/>
      <c r="F983" s="6"/>
      <c r="N983" s="7"/>
      <c r="W983" s="4"/>
      <c r="X983" s="4"/>
      <c r="Z983" s="7"/>
      <c r="AA983" s="4"/>
      <c r="AB983" s="3"/>
      <c r="AC983" s="3"/>
      <c r="AD983" s="3"/>
      <c r="AE983" s="3"/>
      <c r="AF983" s="3"/>
      <c r="AG983" s="3"/>
    </row>
    <row r="984" customFormat="false" ht="15.75" hidden="false" customHeight="false" outlineLevel="0" collapsed="false">
      <c r="A984" s="3"/>
      <c r="B984" s="3"/>
      <c r="C984" s="4"/>
      <c r="D984" s="4"/>
      <c r="E984" s="5"/>
      <c r="F984" s="6"/>
      <c r="N984" s="7"/>
      <c r="W984" s="4"/>
      <c r="X984" s="4"/>
      <c r="Z984" s="7"/>
      <c r="AA984" s="4"/>
      <c r="AB984" s="3"/>
      <c r="AC984" s="3"/>
      <c r="AD984" s="3"/>
      <c r="AE984" s="3"/>
      <c r="AF984" s="3"/>
      <c r="AG984" s="3"/>
    </row>
    <row r="985" customFormat="false" ht="15.75" hidden="false" customHeight="false" outlineLevel="0" collapsed="false">
      <c r="A985" s="3"/>
      <c r="B985" s="3"/>
      <c r="C985" s="4"/>
      <c r="D985" s="4"/>
      <c r="E985" s="5"/>
      <c r="F985" s="6"/>
      <c r="N985" s="7"/>
      <c r="W985" s="4"/>
      <c r="X985" s="4"/>
      <c r="Z985" s="7"/>
      <c r="AA985" s="4"/>
      <c r="AB985" s="3"/>
      <c r="AC985" s="3"/>
      <c r="AD985" s="3"/>
      <c r="AE985" s="3"/>
      <c r="AF985" s="3"/>
      <c r="AG985" s="3"/>
    </row>
    <row r="986" customFormat="false" ht="15.75" hidden="false" customHeight="false" outlineLevel="0" collapsed="false">
      <c r="A986" s="3"/>
      <c r="B986" s="3"/>
      <c r="C986" s="4"/>
      <c r="D986" s="4"/>
      <c r="E986" s="5"/>
      <c r="F986" s="6"/>
      <c r="N986" s="7"/>
      <c r="W986" s="4"/>
      <c r="X986" s="4"/>
      <c r="Z986" s="7"/>
      <c r="AA986" s="4"/>
      <c r="AB986" s="3"/>
      <c r="AC986" s="3"/>
      <c r="AD986" s="3"/>
      <c r="AE986" s="3"/>
      <c r="AF986" s="3"/>
      <c r="AG986" s="3"/>
    </row>
    <row r="987" customFormat="false" ht="15.75" hidden="false" customHeight="false" outlineLevel="0" collapsed="false">
      <c r="A987" s="3"/>
      <c r="B987" s="3"/>
      <c r="C987" s="4"/>
      <c r="D987" s="4"/>
      <c r="E987" s="5"/>
      <c r="F987" s="6"/>
      <c r="N987" s="7"/>
      <c r="W987" s="4"/>
      <c r="X987" s="4"/>
      <c r="Z987" s="7"/>
      <c r="AA987" s="4"/>
      <c r="AB987" s="3"/>
      <c r="AC987" s="3"/>
      <c r="AD987" s="3"/>
      <c r="AE987" s="3"/>
      <c r="AF987" s="3"/>
      <c r="AG987" s="3"/>
    </row>
    <row r="988" customFormat="false" ht="15.75" hidden="false" customHeight="false" outlineLevel="0" collapsed="false">
      <c r="A988" s="3"/>
      <c r="B988" s="3"/>
      <c r="C988" s="4"/>
      <c r="D988" s="4"/>
      <c r="E988" s="5"/>
      <c r="F988" s="6"/>
      <c r="N988" s="7"/>
      <c r="W988" s="4"/>
      <c r="X988" s="4"/>
      <c r="Z988" s="7"/>
      <c r="AA988" s="4"/>
      <c r="AB988" s="3"/>
      <c r="AC988" s="3"/>
      <c r="AD988" s="3"/>
      <c r="AE988" s="3"/>
      <c r="AF988" s="3"/>
      <c r="AG988" s="3"/>
    </row>
    <row r="989" customFormat="false" ht="15.75" hidden="false" customHeight="false" outlineLevel="0" collapsed="false">
      <c r="A989" s="3"/>
      <c r="B989" s="3"/>
      <c r="C989" s="4"/>
      <c r="D989" s="4"/>
      <c r="E989" s="5"/>
      <c r="F989" s="6"/>
      <c r="N989" s="7"/>
      <c r="W989" s="4"/>
      <c r="X989" s="4"/>
      <c r="Z989" s="7"/>
      <c r="AA989" s="4"/>
      <c r="AB989" s="3"/>
      <c r="AC989" s="3"/>
      <c r="AD989" s="3"/>
      <c r="AE989" s="3"/>
      <c r="AF989" s="3"/>
      <c r="AG989" s="3"/>
    </row>
    <row r="990" customFormat="false" ht="15.75" hidden="false" customHeight="false" outlineLevel="0" collapsed="false">
      <c r="A990" s="3"/>
      <c r="B990" s="3"/>
      <c r="C990" s="4"/>
      <c r="D990" s="4"/>
      <c r="E990" s="5"/>
      <c r="F990" s="6"/>
      <c r="N990" s="7"/>
      <c r="W990" s="4"/>
      <c r="X990" s="4"/>
      <c r="Z990" s="7"/>
      <c r="AA990" s="4"/>
      <c r="AB990" s="3"/>
      <c r="AC990" s="3"/>
      <c r="AD990" s="3"/>
      <c r="AE990" s="3"/>
      <c r="AF990" s="3"/>
      <c r="AG990" s="3"/>
    </row>
    <row r="991" customFormat="false" ht="15.75" hidden="false" customHeight="false" outlineLevel="0" collapsed="false">
      <c r="A991" s="3"/>
      <c r="B991" s="3"/>
      <c r="C991" s="4"/>
      <c r="D991" s="4"/>
      <c r="E991" s="5"/>
      <c r="F991" s="6"/>
      <c r="N991" s="7"/>
      <c r="W991" s="4"/>
      <c r="X991" s="4"/>
      <c r="Z991" s="7"/>
      <c r="AA991" s="4"/>
      <c r="AB991" s="3"/>
      <c r="AC991" s="3"/>
      <c r="AD991" s="3"/>
      <c r="AE991" s="3"/>
      <c r="AF991" s="3"/>
      <c r="AG991" s="3"/>
    </row>
    <row r="992" customFormat="false" ht="15.75" hidden="false" customHeight="false" outlineLevel="0" collapsed="false">
      <c r="A992" s="3"/>
      <c r="B992" s="3"/>
      <c r="C992" s="4"/>
      <c r="D992" s="4"/>
      <c r="E992" s="5"/>
      <c r="F992" s="6"/>
      <c r="N992" s="7"/>
      <c r="W992" s="4"/>
      <c r="X992" s="4"/>
      <c r="Z992" s="7"/>
      <c r="AA992" s="4"/>
      <c r="AB992" s="3"/>
      <c r="AC992" s="3"/>
      <c r="AD992" s="3"/>
      <c r="AE992" s="3"/>
      <c r="AF992" s="3"/>
      <c r="AG992" s="3"/>
    </row>
    <row r="993" customFormat="false" ht="15.75" hidden="false" customHeight="false" outlineLevel="0" collapsed="false">
      <c r="A993" s="3"/>
      <c r="B993" s="3"/>
      <c r="C993" s="4"/>
      <c r="D993" s="4"/>
      <c r="E993" s="5"/>
      <c r="F993" s="6"/>
      <c r="N993" s="7"/>
      <c r="W993" s="4"/>
      <c r="X993" s="4"/>
      <c r="Z993" s="7"/>
      <c r="AA993" s="4"/>
      <c r="AB993" s="3"/>
      <c r="AC993" s="3"/>
      <c r="AD993" s="3"/>
      <c r="AE993" s="3"/>
      <c r="AF993" s="3"/>
      <c r="AG993" s="3"/>
    </row>
    <row r="994" customFormat="false" ht="15.75" hidden="false" customHeight="false" outlineLevel="0" collapsed="false">
      <c r="A994" s="3"/>
      <c r="B994" s="3"/>
      <c r="C994" s="4"/>
      <c r="D994" s="4"/>
      <c r="E994" s="5"/>
      <c r="F994" s="6"/>
      <c r="N994" s="7"/>
      <c r="W994" s="4"/>
      <c r="X994" s="4"/>
      <c r="Z994" s="7"/>
      <c r="AA994" s="4"/>
      <c r="AB994" s="3"/>
      <c r="AC994" s="3"/>
      <c r="AD994" s="3"/>
      <c r="AE994" s="3"/>
      <c r="AF994" s="3"/>
      <c r="AG994" s="3"/>
    </row>
    <row r="995" customFormat="false" ht="15.75" hidden="false" customHeight="false" outlineLevel="0" collapsed="false">
      <c r="A995" s="3"/>
      <c r="B995" s="3"/>
      <c r="C995" s="4"/>
      <c r="D995" s="4"/>
      <c r="E995" s="5"/>
      <c r="F995" s="6"/>
      <c r="N995" s="7"/>
      <c r="W995" s="4"/>
      <c r="X995" s="4"/>
      <c r="Z995" s="7"/>
      <c r="AA995" s="4"/>
      <c r="AB995" s="3"/>
      <c r="AC995" s="3"/>
      <c r="AD995" s="3"/>
      <c r="AE995" s="3"/>
      <c r="AF995" s="3"/>
      <c r="AG995" s="3"/>
    </row>
    <row r="996" customFormat="false" ht="15.75" hidden="false" customHeight="false" outlineLevel="0" collapsed="false">
      <c r="A996" s="3"/>
      <c r="B996" s="3"/>
      <c r="C996" s="4"/>
      <c r="D996" s="4"/>
      <c r="E996" s="5"/>
      <c r="F996" s="6"/>
      <c r="N996" s="7"/>
      <c r="W996" s="4"/>
      <c r="X996" s="4"/>
      <c r="Z996" s="7"/>
      <c r="AA996" s="4"/>
      <c r="AB996" s="3"/>
      <c r="AC996" s="3"/>
      <c r="AD996" s="3"/>
      <c r="AE996" s="3"/>
      <c r="AF996" s="3"/>
      <c r="AG996" s="3"/>
    </row>
    <row r="997" customFormat="false" ht="15.75" hidden="false" customHeight="false" outlineLevel="0" collapsed="false">
      <c r="A997" s="3"/>
      <c r="B997" s="3"/>
      <c r="C997" s="4"/>
      <c r="D997" s="4"/>
      <c r="E997" s="5"/>
      <c r="F997" s="6"/>
      <c r="N997" s="7"/>
      <c r="W997" s="4"/>
      <c r="X997" s="4"/>
      <c r="Z997" s="7"/>
      <c r="AA997" s="4"/>
      <c r="AB997" s="3"/>
      <c r="AC997" s="3"/>
      <c r="AD997" s="3"/>
      <c r="AE997" s="3"/>
      <c r="AF997" s="3"/>
      <c r="AG997" s="3"/>
    </row>
    <row r="998" customFormat="false" ht="15.75" hidden="false" customHeight="false" outlineLevel="0" collapsed="false">
      <c r="A998" s="3"/>
      <c r="B998" s="3"/>
      <c r="C998" s="4"/>
      <c r="D998" s="4"/>
      <c r="E998" s="5"/>
      <c r="F998" s="6"/>
      <c r="N998" s="7"/>
      <c r="W998" s="4"/>
      <c r="X998" s="4"/>
      <c r="Z998" s="7"/>
      <c r="AA998" s="4"/>
      <c r="AB998" s="3"/>
      <c r="AC998" s="3"/>
      <c r="AD998" s="3"/>
      <c r="AE998" s="3"/>
      <c r="AF998" s="3"/>
      <c r="AG998" s="3"/>
    </row>
    <row r="999" customFormat="false" ht="15.75" hidden="false" customHeight="false" outlineLevel="0" collapsed="false">
      <c r="A999" s="3"/>
      <c r="B999" s="3"/>
      <c r="C999" s="4"/>
      <c r="D999" s="4"/>
      <c r="E999" s="5"/>
      <c r="F999" s="6"/>
      <c r="N999" s="7"/>
      <c r="W999" s="4"/>
      <c r="X999" s="4"/>
      <c r="Z999" s="7"/>
      <c r="AA999" s="4"/>
      <c r="AB999" s="3"/>
      <c r="AC999" s="3"/>
      <c r="AD999" s="3"/>
      <c r="AE999" s="3"/>
      <c r="AF999" s="3"/>
      <c r="AG999" s="3"/>
    </row>
    <row r="1000" customFormat="false" ht="15.75" hidden="false" customHeight="false" outlineLevel="0" collapsed="false">
      <c r="A1000" s="3"/>
      <c r="B1000" s="3"/>
      <c r="C1000" s="4"/>
      <c r="D1000" s="4"/>
      <c r="E1000" s="5"/>
      <c r="F1000" s="6"/>
      <c r="N1000" s="7"/>
      <c r="W1000" s="4"/>
      <c r="X1000" s="4"/>
      <c r="Z1000" s="7"/>
      <c r="AA1000" s="4"/>
      <c r="AB1000" s="3"/>
      <c r="AC1000" s="3"/>
      <c r="AD1000" s="3"/>
      <c r="AE1000" s="3"/>
      <c r="AF1000" s="3"/>
      <c r="AG1000" s="3"/>
    </row>
    <row r="1001" customFormat="false" ht="15.75" hidden="false" customHeight="false" outlineLevel="0" collapsed="false">
      <c r="A1001" s="3"/>
      <c r="B1001" s="3"/>
      <c r="C1001" s="4"/>
      <c r="D1001" s="4"/>
      <c r="E1001" s="5"/>
      <c r="F1001" s="6"/>
      <c r="N1001" s="7"/>
      <c r="W1001" s="4"/>
      <c r="X1001" s="4"/>
      <c r="Z1001" s="7"/>
      <c r="AA1001" s="4"/>
      <c r="AB1001" s="3"/>
      <c r="AC1001" s="3"/>
      <c r="AD1001" s="3"/>
      <c r="AE1001" s="3"/>
      <c r="AF1001" s="3"/>
      <c r="AG1001" s="3"/>
    </row>
    <row r="1002" customFormat="false" ht="15.75" hidden="false" customHeight="false" outlineLevel="0" collapsed="false">
      <c r="A1002" s="3"/>
      <c r="B1002" s="3"/>
      <c r="C1002" s="4"/>
      <c r="D1002" s="4"/>
      <c r="E1002" s="5"/>
      <c r="F1002" s="6"/>
      <c r="N1002" s="7"/>
      <c r="W1002" s="4"/>
      <c r="X1002" s="4"/>
      <c r="Z1002" s="7"/>
      <c r="AA1002" s="4"/>
      <c r="AB1002" s="3"/>
      <c r="AC1002" s="3"/>
      <c r="AD1002" s="3"/>
      <c r="AE1002" s="3"/>
      <c r="AF1002" s="3"/>
      <c r="AG1002" s="3"/>
    </row>
    <row r="1003" customFormat="false" ht="15.75" hidden="false" customHeight="false" outlineLevel="0" collapsed="false">
      <c r="A1003" s="3"/>
      <c r="B1003" s="3"/>
      <c r="C1003" s="4"/>
      <c r="D1003" s="4"/>
      <c r="E1003" s="5"/>
      <c r="F1003" s="6"/>
      <c r="N1003" s="7"/>
      <c r="W1003" s="4"/>
      <c r="X1003" s="4"/>
      <c r="Z1003" s="7"/>
      <c r="AA1003" s="4"/>
      <c r="AB1003" s="3"/>
      <c r="AC1003" s="3"/>
    </row>
    <row r="1004" customFormat="false" ht="15.75" hidden="false" customHeight="false" outlineLevel="0" collapsed="false">
      <c r="A1004" s="3"/>
      <c r="B1004" s="3"/>
      <c r="C1004" s="4"/>
      <c r="D1004" s="4"/>
      <c r="E1004" s="5"/>
      <c r="F1004" s="6"/>
      <c r="N1004" s="7"/>
      <c r="W1004" s="4"/>
      <c r="X1004" s="4"/>
      <c r="Z1004" s="7"/>
      <c r="AA1004" s="4"/>
      <c r="AB1004" s="3"/>
    </row>
    <row r="1005" customFormat="false" ht="15.75" hidden="false" customHeight="false" outlineLevel="0" collapsed="false">
      <c r="A1005" s="3"/>
      <c r="B1005" s="3"/>
      <c r="C1005" s="4"/>
      <c r="D1005" s="4"/>
      <c r="E1005" s="5"/>
      <c r="F1005" s="6"/>
      <c r="N1005" s="7"/>
      <c r="W1005" s="4"/>
      <c r="X1005" s="4"/>
      <c r="Z1005" s="7"/>
      <c r="AA1005" s="4"/>
      <c r="AB1005" s="3"/>
    </row>
    <row r="1006" customFormat="false" ht="15.75" hidden="false" customHeight="false" outlineLevel="0" collapsed="false">
      <c r="A1006" s="3"/>
      <c r="B1006" s="3"/>
      <c r="C1006" s="4"/>
      <c r="D1006" s="4"/>
      <c r="E1006" s="5"/>
      <c r="F1006" s="6"/>
      <c r="N1006" s="7"/>
    </row>
    <row r="1007" customFormat="false" ht="15.75" hidden="false" customHeight="false" outlineLevel="0" collapsed="false">
      <c r="A1007" s="3"/>
      <c r="B1007" s="3"/>
      <c r="C1007" s="4"/>
      <c r="D1007" s="4"/>
      <c r="E1007" s="5"/>
      <c r="F1007" s="6"/>
      <c r="N1007" s="7"/>
    </row>
  </sheetData>
  <mergeCells count="8">
    <mergeCell ref="K5:U5"/>
    <mergeCell ref="K16:U16"/>
    <mergeCell ref="K18:U18"/>
    <mergeCell ref="K29:U29"/>
    <mergeCell ref="K31:U31"/>
    <mergeCell ref="K42:U42"/>
    <mergeCell ref="K44:U44"/>
    <mergeCell ref="K56:U56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2025-12-08T13:10:38Z</dcterms:modified>
  <cp:revision>1</cp:revision>
  <dc:subject/>
  <dc:title/>
</cp:coreProperties>
</file>