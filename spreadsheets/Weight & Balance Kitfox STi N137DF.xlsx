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es 7" sheetId="1" r:id="rId4"/>
  </sheets>
  <definedNames/>
  <calcPr/>
</workbook>
</file>

<file path=xl/sharedStrings.xml><?xml version="1.0" encoding="utf-8"?>
<sst xmlns="http://schemas.openxmlformats.org/spreadsheetml/2006/main" count="60" uniqueCount="54">
  <si>
    <t>Weight &amp; Balance N137DF Kitfox S7 STi</t>
  </si>
  <si>
    <r>
      <rPr>
        <rFont val="Times New Roman"/>
        <b/>
        <color theme="1"/>
        <sz val="11.0"/>
      </rPr>
      <t>Make;</t>
    </r>
  </si>
  <si>
    <r>
      <rPr>
        <rFont val="Times New Roman"/>
        <b/>
        <color theme="1"/>
        <sz val="11.0"/>
      </rPr>
      <t>Model;</t>
    </r>
    <r>
      <rPr>
        <rFont val="Times New Roman"/>
        <b val="0"/>
        <i/>
        <color theme="1"/>
        <sz val="11.0"/>
      </rPr>
      <t xml:space="preserve"> </t>
    </r>
  </si>
  <si>
    <t>S / N;</t>
  </si>
  <si>
    <t>REG #</t>
  </si>
  <si>
    <t>DATE</t>
  </si>
  <si>
    <t>Kitfox</t>
  </si>
  <si>
    <t>S7 STi</t>
  </si>
  <si>
    <t>KA20339474</t>
  </si>
  <si>
    <t>N137DF</t>
  </si>
  <si>
    <t>DATUM = Leading Edge of Wing Root</t>
  </si>
  <si>
    <t>EMPTY WEIGHT CG</t>
  </si>
  <si>
    <t>Item</t>
  </si>
  <si>
    <t>Wt. (Lbs.)</t>
  </si>
  <si>
    <t>Arm, (in.)</t>
  </si>
  <si>
    <t>Moment</t>
  </si>
  <si>
    <t>Maximum Gross Wt =1550 Lbs.</t>
  </si>
  <si>
    <t>Left Main, (- tare)</t>
  </si>
  <si>
    <t>Right Main (- tare)</t>
  </si>
  <si>
    <t>Tail Wheel (- tare)</t>
  </si>
  <si>
    <t>Nose Wheel (-tare)</t>
  </si>
  <si>
    <t>Max. Forward CG=10.33"</t>
  </si>
  <si>
    <t>TOTALS</t>
  </si>
  <si>
    <t xml:space="preserve"> ^ ^ ^ ^ ^ ^ ^ ^</t>
  </si>
  <si>
    <t>Max. Aft CG=17.4"</t>
  </si>
  <si>
    <r>
      <rPr>
        <rFont val="Times New Roman"/>
        <color theme="1"/>
        <sz val="11.0"/>
      </rPr>
      <t xml:space="preserve">            EMPTY</t>
    </r>
    <r>
      <rPr>
        <rFont val="Times New Roman"/>
        <b/>
        <color theme="1"/>
        <sz val="11.0"/>
      </rPr>
      <t xml:space="preserve"> </t>
    </r>
    <r>
      <rPr>
        <rFont val="Times New Roman"/>
        <color theme="1"/>
        <sz val="11.0"/>
      </rPr>
      <t>WEIGHT</t>
    </r>
    <r>
      <rPr>
        <rFont val="Times New Roman"/>
        <b/>
        <color theme="1"/>
        <sz val="11.0"/>
      </rPr>
      <t xml:space="preserve">                                             CG,  (in.) =</t>
    </r>
  </si>
  <si>
    <t>LOADING CHECK</t>
  </si>
  <si>
    <t>MOST ADVERSE FORWARD</t>
  </si>
  <si>
    <t>MOST ADVERSE AFT</t>
  </si>
  <si>
    <t>ITEM</t>
  </si>
  <si>
    <t>Wt. (Lbs.)x</t>
  </si>
  <si>
    <t xml:space="preserve"> Arm, (in.) =</t>
  </si>
  <si>
    <t>Fuel, Gal.</t>
  </si>
  <si>
    <t>A/C Empty Weight</t>
  </si>
  <si>
    <t>Pilot</t>
  </si>
  <si>
    <t>Passenger</t>
  </si>
  <si>
    <t>Wing Tanks, Fuel *</t>
  </si>
  <si>
    <t>Baggage Sack 40 lbs max</t>
  </si>
  <si>
    <t>Cargo Bay</t>
  </si>
  <si>
    <t xml:space="preserve"> ^ ^ ^ ^ ^ ^ ^ ^ ^</t>
  </si>
  <si>
    <t xml:space="preserve"> ^ ^ ^ ^ ^ ^ ^ ^ ^ </t>
  </si>
  <si>
    <r>
      <rPr>
        <rFont val="Times New Roman"/>
        <color theme="1"/>
        <sz val="12.0"/>
      </rPr>
      <t xml:space="preserve">LOADED WEIGHT                                          </t>
    </r>
    <r>
      <rPr>
        <rFont val="Times New Roman"/>
        <b/>
        <color theme="1"/>
        <sz val="12.0"/>
      </rPr>
      <t xml:space="preserve"> CG, (in.) =</t>
    </r>
  </si>
  <si>
    <t xml:space="preserve">       </t>
  </si>
  <si>
    <t>CG, (in.) =</t>
  </si>
  <si>
    <t>* Fuel = 6 Lbs./ Gallon</t>
  </si>
  <si>
    <t>Note: The STi Wing is 4.5" longer in chord than the SS7 wing, which moves the CG range from 9.5-16" to 10.33-17.4" assuming the same 18.6%-31.5% MAC CG range as the SS7 wing
Note: The extended baggage compartment pushes the center of the baggage area arm from 46.9 to 54.9"</t>
  </si>
  <si>
    <t>pilot</t>
  </si>
  <si>
    <t>pass</t>
  </si>
  <si>
    <t>fuel</t>
  </si>
  <si>
    <t>bag</t>
  </si>
  <si>
    <t>plane</t>
  </si>
  <si>
    <t>Loaded Airplane Moment/1000 (Pound-Inches)</t>
  </si>
  <si>
    <t>Loaded Airplane Weight (Pounds)</t>
  </si>
  <si>
    <t>CG (in)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</si>
</sst>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0.000"/>
  </numFmts>
  <fonts count="31">
    <font>
      <sz val="10.0"/>
      <color rgb="FF000000"/>
      <name val="Arial"/>
      <scheme val="minor"/>
    </font>
    <font>
      <b/>
      <sz val="24.0"/>
      <color rgb="FF0000FF"/>
      <name val="Times New Roman"/>
    </font>
    <font/>
    <font>
      <b/>
      <sz val="24.0"/>
      <color rgb="FF3366FF"/>
      <name val="Times New Roman"/>
    </font>
    <font>
      <b/>
      <sz val="14.0"/>
      <color theme="1"/>
      <name val="Arial"/>
    </font>
    <font>
      <b/>
      <sz val="11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i/>
      <sz val="11.0"/>
      <color theme="1"/>
      <name val="Times New Roman"/>
    </font>
    <font>
      <i/>
      <sz val="10.0"/>
      <color theme="1"/>
      <name val="Times New Roman"/>
    </font>
    <font>
      <sz val="11.0"/>
      <color theme="1"/>
      <name val="Times New Roman"/>
    </font>
    <font>
      <sz val="10.0"/>
      <color theme="1"/>
      <name val="Arial"/>
    </font>
    <font>
      <b/>
      <sz val="14.0"/>
      <color theme="1"/>
      <name val="Times New Roman"/>
    </font>
    <font>
      <b/>
      <sz val="12.0"/>
      <color rgb="FF000000"/>
      <name val="Times New Roman"/>
    </font>
    <font>
      <sz val="10.0"/>
      <color rgb="FF3366FF"/>
      <name val="Times New Roman"/>
    </font>
    <font>
      <b/>
      <sz val="10.0"/>
      <color rgb="FF3366FF"/>
      <name val="Times New Roman"/>
    </font>
    <font>
      <sz val="11.0"/>
      <color rgb="FF3366FF"/>
      <name val="Times New Roman"/>
    </font>
    <font>
      <sz val="10.0"/>
      <color rgb="FFFF0000"/>
      <name val="Times New Roman"/>
    </font>
    <font>
      <b/>
      <i/>
      <sz val="16.0"/>
      <color rgb="FF3366FF"/>
      <name val="Times New Roman"/>
    </font>
    <font>
      <sz val="11.0"/>
      <color rgb="FFFF0000"/>
      <name val="Times New Roman"/>
    </font>
    <font>
      <b/>
      <sz val="11.0"/>
      <color rgb="FF3366FF"/>
      <name val="Times New Roman"/>
    </font>
    <font>
      <sz val="12.0"/>
      <color theme="1"/>
      <name val="Times New Roman"/>
    </font>
    <font>
      <sz val="10.0"/>
      <color rgb="FFFF0000"/>
      <name val="Arial"/>
    </font>
    <font>
      <sz val="14.0"/>
      <color theme="1"/>
      <name val="Times New Roman"/>
    </font>
    <font>
      <b/>
      <sz val="12.0"/>
      <color theme="1"/>
      <name val="Times New Roman"/>
    </font>
    <font>
      <b/>
      <sz val="16.0"/>
      <color rgb="FFFF0000"/>
      <name val="Times New Roman"/>
    </font>
    <font>
      <b/>
      <sz val="10.0"/>
      <color theme="1"/>
      <name val="Arial"/>
    </font>
    <font>
      <b/>
      <i/>
      <sz val="14.0"/>
      <color rgb="FFFF0000"/>
      <name val="Times New Roman"/>
    </font>
    <font>
      <b/>
      <u/>
      <sz val="11.0"/>
      <color theme="1"/>
      <name val="Times New Roman"/>
    </font>
    <font>
      <b/>
      <sz val="12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666699"/>
        <bgColor rgb="FF666699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5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9" fillId="0" fontId="7" numFmtId="0" xfId="0" applyBorder="1" applyFont="1"/>
    <xf borderId="10" fillId="0" fontId="8" numFmtId="0" xfId="0" applyAlignment="1" applyBorder="1" applyFont="1">
      <alignment horizontal="center"/>
    </xf>
    <xf borderId="10" fillId="0" fontId="9" numFmtId="0" xfId="0" applyAlignment="1" applyBorder="1" applyFont="1">
      <alignment horizontal="center"/>
    </xf>
    <xf borderId="10" fillId="0" fontId="8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10" fillId="0" fontId="10" numFmtId="164" xfId="0" applyAlignment="1" applyBorder="1" applyFont="1" applyNumberFormat="1">
      <alignment horizontal="center" readingOrder="0"/>
    </xf>
    <xf borderId="11" fillId="0" fontId="7" numFmtId="0" xfId="0" applyBorder="1" applyFont="1"/>
    <xf borderId="0" fillId="0" fontId="11" numFmtId="0" xfId="0" applyFont="1"/>
    <xf borderId="12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0" fillId="0" fontId="10" numFmtId="14" xfId="0" applyAlignment="1" applyFont="1" applyNumberFormat="1">
      <alignment horizontal="center"/>
    </xf>
    <xf borderId="1" fillId="0" fontId="12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0" fillId="0" fontId="7" numFmtId="0" xfId="0" applyFont="1"/>
    <xf borderId="13" fillId="2" fontId="13" numFmtId="0" xfId="0" applyAlignment="1" applyBorder="1" applyFill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0" fillId="0" fontId="6" numFmtId="22" xfId="0" applyAlignment="1" applyFont="1" applyNumberFormat="1">
      <alignment horizontal="center"/>
    </xf>
    <xf borderId="0" fillId="0" fontId="14" numFmtId="0" xfId="0" applyFont="1"/>
    <xf borderId="0" fillId="0" fontId="15" numFmtId="0" xfId="0" applyAlignment="1" applyFont="1">
      <alignment horizontal="center"/>
    </xf>
    <xf borderId="16" fillId="0" fontId="10" numFmtId="0" xfId="0" applyAlignment="1" applyBorder="1" applyFont="1">
      <alignment horizontal="center"/>
    </xf>
    <xf borderId="17" fillId="0" fontId="10" numFmtId="0" xfId="0" applyAlignment="1" applyBorder="1" applyFont="1">
      <alignment horizontal="center"/>
    </xf>
    <xf borderId="18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1" fillId="0" fontId="16" numFmtId="0" xfId="0" applyAlignment="1" applyBorder="1" applyFont="1">
      <alignment horizontal="center"/>
    </xf>
    <xf borderId="11" fillId="0" fontId="17" numFmtId="0" xfId="0" applyBorder="1" applyFont="1"/>
    <xf borderId="19" fillId="0" fontId="10" numFmtId="2" xfId="0" applyAlignment="1" applyBorder="1" applyFont="1" applyNumberFormat="1">
      <alignment horizontal="center"/>
    </xf>
    <xf borderId="20" fillId="0" fontId="10" numFmtId="2" xfId="0" applyAlignment="1" applyBorder="1" applyFont="1" applyNumberFormat="1">
      <alignment horizontal="center" readingOrder="0"/>
    </xf>
    <xf borderId="21" fillId="0" fontId="10" numFmtId="2" xfId="0" applyAlignment="1" applyBorder="1" applyFont="1" applyNumberFormat="1">
      <alignment horizontal="center" readingOrder="0"/>
    </xf>
    <xf borderId="15" fillId="0" fontId="10" numFmtId="2" xfId="0" applyBorder="1" applyFont="1" applyNumberFormat="1"/>
    <xf borderId="0" fillId="0" fontId="7" numFmtId="2" xfId="0" applyFont="1" applyNumberFormat="1"/>
    <xf borderId="0" fillId="0" fontId="16" numFmtId="0" xfId="0" applyAlignment="1" applyFont="1">
      <alignment horizontal="center"/>
    </xf>
    <xf borderId="22" fillId="0" fontId="10" numFmtId="2" xfId="0" applyAlignment="1" applyBorder="1" applyFont="1" applyNumberFormat="1">
      <alignment horizontal="center"/>
    </xf>
    <xf borderId="23" fillId="0" fontId="10" numFmtId="2" xfId="0" applyAlignment="1" applyBorder="1" applyFont="1" applyNumberFormat="1">
      <alignment horizontal="center" readingOrder="0"/>
    </xf>
    <xf borderId="24" fillId="0" fontId="10" numFmtId="2" xfId="0" applyAlignment="1" applyBorder="1" applyFont="1" applyNumberFormat="1">
      <alignment horizontal="center" readingOrder="0"/>
    </xf>
    <xf borderId="25" fillId="0" fontId="10" numFmtId="2" xfId="0" applyBorder="1" applyFont="1" applyNumberFormat="1"/>
    <xf borderId="26" fillId="0" fontId="10" numFmtId="2" xfId="0" applyAlignment="1" applyBorder="1" applyFont="1" applyNumberFormat="1">
      <alignment horizontal="center"/>
    </xf>
    <xf borderId="27" fillId="0" fontId="10" numFmtId="2" xfId="0" applyAlignment="1" applyBorder="1" applyFont="1" applyNumberFormat="1">
      <alignment horizontal="center" readingOrder="0"/>
    </xf>
    <xf borderId="28" fillId="0" fontId="10" numFmtId="2" xfId="0" applyAlignment="1" applyBorder="1" applyFont="1" applyNumberFormat="1">
      <alignment horizontal="center" readingOrder="0"/>
    </xf>
    <xf borderId="11" fillId="0" fontId="10" numFmtId="2" xfId="0" applyBorder="1" applyFont="1" applyNumberFormat="1"/>
    <xf borderId="29" fillId="0" fontId="10" numFmtId="2" xfId="0" applyAlignment="1" applyBorder="1" applyFont="1" applyNumberFormat="1">
      <alignment horizontal="center"/>
    </xf>
    <xf borderId="30" fillId="0" fontId="10" numFmtId="2" xfId="0" applyAlignment="1" applyBorder="1" applyFont="1" applyNumberFormat="1">
      <alignment horizontal="center"/>
    </xf>
    <xf borderId="31" fillId="0" fontId="10" numFmtId="2" xfId="0" applyAlignment="1" applyBorder="1" applyFont="1" applyNumberFormat="1">
      <alignment horizontal="center"/>
    </xf>
    <xf borderId="32" fillId="0" fontId="10" numFmtId="2" xfId="0" applyBorder="1" applyFont="1" applyNumberFormat="1"/>
    <xf borderId="33" fillId="3" fontId="16" numFmtId="2" xfId="0" applyAlignment="1" applyBorder="1" applyFill="1" applyFont="1" applyNumberForma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6" fillId="0" fontId="5" numFmtId="2" xfId="0" applyAlignment="1" applyBorder="1" applyFont="1" applyNumberFormat="1">
      <alignment horizontal="center"/>
    </xf>
    <xf borderId="4" fillId="0" fontId="5" numFmtId="2" xfId="0" applyAlignment="1" applyBorder="1" applyFont="1" applyNumberFormat="1">
      <alignment horizontal="center"/>
    </xf>
    <xf borderId="34" fillId="4" fontId="10" numFmtId="2" xfId="0" applyBorder="1" applyFill="1" applyFont="1" applyNumberFormat="1"/>
    <xf borderId="11" fillId="0" fontId="5" numFmtId="2" xfId="0" applyBorder="1" applyFont="1" applyNumberFormat="1"/>
    <xf borderId="0" fillId="0" fontId="6" numFmtId="2" xfId="0" applyFont="1" applyNumberFormat="1"/>
    <xf borderId="12" fillId="3" fontId="16" numFmtId="2" xfId="0" applyAlignment="1" applyBorder="1" applyFont="1" applyNumberFormat="1">
      <alignment horizontal="center" readingOrder="0"/>
    </xf>
    <xf borderId="4" fillId="0" fontId="2" numFmtId="0" xfId="0" applyBorder="1" applyFont="1"/>
    <xf borderId="6" fillId="0" fontId="2" numFmtId="0" xfId="0" applyBorder="1" applyFont="1"/>
    <xf borderId="12" fillId="0" fontId="10" numFmtId="2" xfId="0" applyAlignment="1" applyBorder="1" applyFont="1" applyNumberFormat="1">
      <alignment horizontal="right"/>
    </xf>
    <xf borderId="34" fillId="5" fontId="18" numFmtId="2" xfId="0" applyBorder="1" applyFill="1" applyFont="1" applyNumberFormat="1"/>
    <xf borderId="0" fillId="0" fontId="19" numFmtId="2" xfId="0" applyAlignment="1" applyFont="1" applyNumberFormat="1">
      <alignment horizontal="center"/>
    </xf>
    <xf borderId="35" fillId="0" fontId="10" numFmtId="2" xfId="0" applyAlignment="1" applyBorder="1" applyFont="1" applyNumberFormat="1">
      <alignment horizontal="right"/>
    </xf>
    <xf borderId="0" fillId="0" fontId="10" numFmtId="2" xfId="0" applyAlignment="1" applyFont="1" applyNumberFormat="1">
      <alignment horizontal="right"/>
    </xf>
    <xf borderId="0" fillId="0" fontId="18" numFmtId="2" xfId="0" applyFont="1" applyNumberFormat="1"/>
    <xf borderId="0" fillId="0" fontId="20" numFmtId="2" xfId="0" applyAlignment="1" applyFont="1" applyNumberFormat="1">
      <alignment horizontal="center"/>
    </xf>
    <xf borderId="36" fillId="0" fontId="7" numFmtId="0" xfId="0" applyBorder="1" applyFont="1"/>
    <xf borderId="4" fillId="0" fontId="7" numFmtId="0" xfId="0" applyBorder="1" applyFont="1"/>
    <xf borderId="4" fillId="0" fontId="21" numFmtId="0" xfId="0" applyBorder="1" applyFont="1"/>
    <xf borderId="6" fillId="0" fontId="21" numFmtId="0" xfId="0" applyBorder="1" applyFont="1"/>
    <xf borderId="0" fillId="0" fontId="22" numFmtId="0" xfId="0" applyFont="1"/>
    <xf borderId="12" fillId="0" fontId="7" numFmtId="0" xfId="0" applyBorder="1" applyFont="1"/>
    <xf borderId="2" fillId="0" fontId="7" numFmtId="0" xfId="0" applyBorder="1" applyFont="1"/>
    <xf borderId="6" fillId="0" fontId="7" numFmtId="0" xfId="0" applyBorder="1" applyFont="1"/>
    <xf borderId="5" fillId="0" fontId="7" numFmtId="0" xfId="0" applyBorder="1" applyFont="1"/>
    <xf borderId="5" fillId="0" fontId="1" numFmtId="0" xfId="0" applyAlignment="1" applyBorder="1" applyFont="1">
      <alignment horizontal="center"/>
    </xf>
    <xf borderId="11" fillId="0" fontId="2" numFmtId="0" xfId="0" applyBorder="1" applyFont="1"/>
    <xf borderId="1" fillId="0" fontId="23" numFmtId="164" xfId="0" applyAlignment="1" applyBorder="1" applyFont="1" applyNumberFormat="1">
      <alignment horizontal="center"/>
    </xf>
    <xf borderId="0" fillId="0" fontId="7" numFmtId="22" xfId="0" applyAlignment="1" applyFont="1" applyNumberFormat="1">
      <alignment horizontal="center"/>
    </xf>
    <xf borderId="12" fillId="0" fontId="6" numFmtId="0" xfId="0" applyAlignment="1" applyBorder="1" applyFont="1">
      <alignment horizontal="center"/>
    </xf>
    <xf borderId="13" fillId="2" fontId="24" numFmtId="0" xfId="0" applyAlignment="1" applyBorder="1" applyFont="1">
      <alignment horizontal="center"/>
    </xf>
    <xf borderId="0" fillId="0" fontId="6" numFmtId="0" xfId="0" applyFont="1"/>
    <xf borderId="0" fillId="0" fontId="11" numFmtId="0" xfId="0" applyAlignment="1" applyFont="1">
      <alignment horizontal="center"/>
    </xf>
    <xf borderId="12" fillId="0" fontId="10" numFmtId="0" xfId="0" applyBorder="1" applyFont="1"/>
    <xf borderId="16" fillId="0" fontId="10" numFmtId="0" xfId="0" applyBorder="1" applyFont="1"/>
    <xf borderId="18" fillId="0" fontId="10" numFmtId="0" xfId="0" applyBorder="1" applyFont="1"/>
    <xf borderId="4" fillId="0" fontId="10" numFmtId="0" xfId="0" applyAlignment="1" applyBorder="1" applyFont="1">
      <alignment horizontal="center"/>
    </xf>
    <xf borderId="6" fillId="0" fontId="21" numFmtId="0" xfId="0" applyAlignment="1" applyBorder="1" applyFont="1">
      <alignment horizontal="center"/>
    </xf>
    <xf borderId="37" fillId="0" fontId="10" numFmtId="0" xfId="0" applyBorder="1" applyFont="1"/>
    <xf borderId="19" fillId="0" fontId="10" numFmtId="2" xfId="0" applyBorder="1" applyFont="1" applyNumberFormat="1"/>
    <xf borderId="38" fillId="0" fontId="10" numFmtId="2" xfId="0" applyAlignment="1" applyBorder="1" applyFont="1" applyNumberFormat="1">
      <alignment horizontal="right"/>
    </xf>
    <xf borderId="39" fillId="0" fontId="10" numFmtId="2" xfId="0" applyAlignment="1" applyBorder="1" applyFont="1" applyNumberFormat="1">
      <alignment horizontal="right"/>
    </xf>
    <xf borderId="40" fillId="6" fontId="21" numFmtId="2" xfId="0" applyAlignment="1" applyBorder="1" applyFill="1" applyFont="1" applyNumberFormat="1">
      <alignment horizontal="center"/>
    </xf>
    <xf borderId="19" fillId="0" fontId="10" numFmtId="2" xfId="0" applyAlignment="1" applyBorder="1" applyFont="1" applyNumberFormat="1">
      <alignment horizontal="right"/>
    </xf>
    <xf borderId="21" fillId="0" fontId="10" numFmtId="2" xfId="0" applyAlignment="1" applyBorder="1" applyFont="1" applyNumberFormat="1">
      <alignment horizontal="right"/>
    </xf>
    <xf borderId="41" fillId="6" fontId="10" numFmtId="0" xfId="0" applyBorder="1" applyFont="1"/>
    <xf borderId="22" fillId="0" fontId="10" numFmtId="2" xfId="0" applyBorder="1" applyFont="1" applyNumberFormat="1"/>
    <xf borderId="24" fillId="0" fontId="10" numFmtId="2" xfId="0" applyAlignment="1" applyBorder="1" applyFont="1" applyNumberFormat="1">
      <alignment horizontal="right" readingOrder="0"/>
    </xf>
    <xf borderId="24" fillId="0" fontId="10" numFmtId="2" xfId="0" applyAlignment="1" applyBorder="1" applyFont="1" applyNumberFormat="1">
      <alignment horizontal="right"/>
    </xf>
    <xf borderId="25" fillId="0" fontId="10" numFmtId="2" xfId="0" applyAlignment="1" applyBorder="1" applyFont="1" applyNumberFormat="1">
      <alignment horizontal="right"/>
    </xf>
    <xf borderId="22" fillId="0" fontId="10" numFmtId="2" xfId="0" applyAlignment="1" applyBorder="1" applyFont="1" applyNumberFormat="1">
      <alignment horizontal="right" readingOrder="0"/>
    </xf>
    <xf borderId="42" fillId="0" fontId="10" numFmtId="2" xfId="0" applyAlignment="1" applyBorder="1" applyFont="1" applyNumberFormat="1">
      <alignment horizontal="right" readingOrder="0"/>
    </xf>
    <xf borderId="43" fillId="6" fontId="10" numFmtId="0" xfId="0" applyBorder="1" applyFont="1"/>
    <xf borderId="24" fillId="5" fontId="10" numFmtId="2" xfId="0" applyAlignment="1" applyBorder="1" applyFont="1" applyNumberFormat="1">
      <alignment horizontal="right" readingOrder="0"/>
    </xf>
    <xf borderId="44" fillId="5" fontId="25" numFmtId="2" xfId="0" applyAlignment="1" applyBorder="1" applyFont="1" applyNumberFormat="1">
      <alignment horizontal="center"/>
    </xf>
    <xf borderId="22" fillId="5" fontId="10" numFmtId="2" xfId="0" applyAlignment="1" applyBorder="1" applyFont="1" applyNumberFormat="1">
      <alignment horizontal="right" readingOrder="0"/>
    </xf>
    <xf borderId="44" fillId="5" fontId="25" numFmtId="2" xfId="0" applyAlignment="1" applyBorder="1" applyFont="1" applyNumberFormat="1">
      <alignment horizontal="center" readingOrder="0"/>
    </xf>
    <xf borderId="45" fillId="0" fontId="10" numFmtId="2" xfId="0" applyBorder="1" applyFont="1" applyNumberFormat="1"/>
    <xf borderId="28" fillId="0" fontId="10" numFmtId="2" xfId="0" applyAlignment="1" applyBorder="1" applyFont="1" applyNumberFormat="1">
      <alignment horizontal="right"/>
    </xf>
    <xf borderId="46" fillId="0" fontId="10" numFmtId="2" xfId="0" applyAlignment="1" applyBorder="1" applyFont="1" applyNumberFormat="1">
      <alignment horizontal="right"/>
    </xf>
    <xf borderId="5" fillId="0" fontId="10" numFmtId="2" xfId="0" applyAlignment="1" applyBorder="1" applyFont="1" applyNumberFormat="1">
      <alignment horizontal="right"/>
    </xf>
    <xf borderId="47" fillId="0" fontId="10" numFmtId="2" xfId="0" applyAlignment="1" applyBorder="1" applyFont="1" applyNumberFormat="1">
      <alignment horizontal="right"/>
    </xf>
    <xf borderId="0" fillId="0" fontId="26" numFmtId="0" xfId="0" applyFont="1"/>
    <xf borderId="48" fillId="0" fontId="10" numFmtId="2" xfId="0" applyBorder="1" applyFont="1" applyNumberFormat="1"/>
    <xf borderId="49" fillId="0" fontId="10" numFmtId="2" xfId="0" applyAlignment="1" applyBorder="1" applyFont="1" applyNumberFormat="1">
      <alignment horizontal="right"/>
    </xf>
    <xf borderId="31" fillId="3" fontId="10" numFmtId="2" xfId="0" applyAlignment="1" applyBorder="1" applyFont="1" applyNumberFormat="1">
      <alignment horizontal="right" readingOrder="0"/>
    </xf>
    <xf borderId="30" fillId="0" fontId="10" numFmtId="2" xfId="0" applyAlignment="1" applyBorder="1" applyFont="1" applyNumberFormat="1">
      <alignment horizontal="right"/>
    </xf>
    <xf borderId="30" fillId="0" fontId="7" numFmtId="2" xfId="0" applyBorder="1" applyFont="1" applyNumberFormat="1"/>
    <xf borderId="48" fillId="0" fontId="10" numFmtId="2" xfId="0" applyAlignment="1" applyBorder="1" applyFont="1" applyNumberFormat="1">
      <alignment horizontal="right" readingOrder="0"/>
    </xf>
    <xf borderId="12" fillId="0" fontId="21" numFmtId="2" xfId="0" applyBorder="1" applyFont="1" applyNumberFormat="1"/>
    <xf borderId="36" fillId="0" fontId="5" numFmtId="2" xfId="0" applyBorder="1" applyFont="1" applyNumberFormat="1"/>
    <xf borderId="34" fillId="0" fontId="7" numFmtId="0" xfId="0" applyBorder="1" applyFont="1"/>
    <xf borderId="6" fillId="0" fontId="5" numFmtId="2" xfId="0" applyAlignment="1" applyBorder="1" applyFont="1" applyNumberFormat="1">
      <alignment horizontal="right"/>
    </xf>
    <xf borderId="40" fillId="6" fontId="24" numFmtId="2" xfId="0" applyBorder="1" applyFont="1" applyNumberFormat="1"/>
    <xf borderId="12" fillId="0" fontId="5" numFmtId="2" xfId="0" applyAlignment="1" applyBorder="1" applyFont="1" applyNumberFormat="1">
      <alignment horizontal="right"/>
    </xf>
    <xf borderId="17" fillId="0" fontId="5" numFmtId="2" xfId="0" applyAlignment="1" applyBorder="1" applyFont="1" applyNumberFormat="1">
      <alignment horizontal="right"/>
    </xf>
    <xf borderId="50" fillId="6" fontId="7" numFmtId="0" xfId="0" applyBorder="1" applyFont="1"/>
    <xf borderId="34" fillId="0" fontId="7" numFmtId="0" xfId="0" applyAlignment="1" applyBorder="1" applyFont="1">
      <alignment horizontal="right"/>
    </xf>
    <xf borderId="41" fillId="6" fontId="7" numFmtId="0" xfId="0" applyBorder="1" applyFont="1"/>
    <xf borderId="1" fillId="0" fontId="21" numFmtId="2" xfId="0" applyAlignment="1" applyBorder="1" applyFont="1" applyNumberFormat="1">
      <alignment horizontal="center"/>
    </xf>
    <xf borderId="51" fillId="0" fontId="2" numFmtId="0" xfId="0" applyBorder="1" applyFont="1"/>
    <xf borderId="52" fillId="5" fontId="18" numFmtId="2" xfId="0" applyBorder="1" applyFont="1" applyNumberFormat="1"/>
    <xf borderId="1" fillId="0" fontId="7" numFmtId="0" xfId="0" applyBorder="1" applyFont="1"/>
    <xf borderId="3" fillId="0" fontId="7" numFmtId="0" xfId="0" applyBorder="1" applyFont="1"/>
    <xf borderId="53" fillId="0" fontId="24" numFmtId="2" xfId="0" applyAlignment="1" applyBorder="1" applyFont="1" applyNumberFormat="1">
      <alignment horizontal="right"/>
    </xf>
    <xf borderId="54" fillId="5" fontId="18" numFmtId="2" xfId="0" applyAlignment="1" applyBorder="1" applyFont="1" applyNumberFormat="1">
      <alignment horizontal="right"/>
    </xf>
    <xf borderId="43" fillId="6" fontId="7" numFmtId="0" xfId="0" applyBorder="1" applyFont="1"/>
    <xf borderId="12" fillId="0" fontId="21" numFmtId="2" xfId="0" applyAlignment="1" applyBorder="1" applyFont="1" applyNumberFormat="1">
      <alignment horizontal="center"/>
    </xf>
    <xf borderId="4" fillId="0" fontId="24" numFmtId="2" xfId="0" applyAlignment="1" applyBorder="1" applyFont="1" applyNumberFormat="1">
      <alignment horizontal="center"/>
    </xf>
    <xf borderId="55" fillId="7" fontId="27" numFmtId="2" xfId="0" applyBorder="1" applyFill="1" applyFont="1" applyNumberFormat="1"/>
    <xf borderId="55" fillId="8" fontId="7" numFmtId="0" xfId="0" applyBorder="1" applyFill="1" applyFont="1"/>
    <xf borderId="4" fillId="0" fontId="24" numFmtId="2" xfId="0" applyAlignment="1" applyBorder="1" applyFont="1" applyNumberFormat="1">
      <alignment horizontal="right"/>
    </xf>
    <xf borderId="55" fillId="7" fontId="27" numFmtId="2" xfId="0" applyAlignment="1" applyBorder="1" applyFont="1" applyNumberFormat="1">
      <alignment horizontal="right"/>
    </xf>
    <xf borderId="0" fillId="0" fontId="28" numFmtId="0" xfId="0" applyAlignment="1" applyFont="1">
      <alignment horizontal="left"/>
    </xf>
    <xf borderId="1" fillId="0" fontId="21" numFmtId="0" xfId="0" applyAlignment="1" applyBorder="1" applyFont="1">
      <alignment horizontal="center" readingOrder="0"/>
    </xf>
    <xf borderId="0" fillId="0" fontId="7" numFmtId="165" xfId="0" applyFont="1" applyNumberFormat="1"/>
    <xf borderId="0" fillId="0" fontId="29" numFmtId="0" xfId="0" applyFont="1"/>
    <xf borderId="0" fillId="0" fontId="26" numFmtId="0" xfId="0" applyAlignment="1" applyFont="1">
      <alignment readingOrder="0" shrinkToFit="0" wrapText="0"/>
    </xf>
    <xf borderId="0" fillId="0" fontId="11" numFmtId="0" xfId="0" applyAlignment="1" applyFont="1">
      <alignment horizontal="left"/>
    </xf>
    <xf borderId="0" fillId="0" fontId="30" numFmtId="0" xfId="0" applyAlignment="1" applyFont="1">
      <alignment readingOrder="0"/>
    </xf>
    <xf borderId="0" fillId="0" fontId="30" numFmtId="0" xfId="0" applyAlignment="1" applyFont="1">
      <alignment readingOrder="0" shrinkToFit="0" wrapText="1"/>
    </xf>
    <xf borderId="0" fillId="9" fontId="30" numFmtId="1" xfId="0" applyFill="1" applyFont="1" applyNumberFormat="1"/>
    <xf borderId="0" fillId="0" fontId="30" numFmtId="0" xfId="0" applyFont="1"/>
    <xf borderId="0" fillId="0" fontId="30" numFmtId="2" xfId="0" applyFont="1" applyNumberFormat="1"/>
    <xf borderId="0" fillId="0" fontId="30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Loaded Airplane Moment (Pound-Inches)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'Series 7'!$H$45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'Series 7'!$G$46:$G$51</c:f>
            </c:numRef>
          </c:xVal>
          <c:yVal>
            <c:numRef>
              <c:f>'Series 7'!$H$46:$H$51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460833"/>
        <c:axId val="212438737"/>
      </c:scatterChart>
      <c:valAx>
        <c:axId val="508460833"/>
        <c:scaling>
          <c:orientation val="minMax"/>
          <c:max val="3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Loaded Airplane Moment/1000 (Pound-Inches)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38737"/>
      </c:valAx>
      <c:valAx>
        <c:axId val="212438737"/>
        <c:scaling>
          <c:orientation val="minMax"/>
          <c:min val="9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Loaded Airplane Weight (Pounds)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460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73</xdr:row>
      <xdr:rowOff>85725</xdr:rowOff>
    </xdr:from>
    <xdr:ext cx="9667875" cy="5276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6.25"/>
    <col customWidth="1" min="2" max="3" width="12.75"/>
    <col customWidth="1" min="4" max="4" width="10.88"/>
    <col customWidth="1" min="5" max="5" width="10.0"/>
    <col customWidth="1" min="6" max="6" width="2.0"/>
    <col customWidth="1" min="7" max="7" width="12.88"/>
    <col customWidth="1" min="8" max="8" width="12.63"/>
    <col customWidth="1" min="9" max="9" width="12.88"/>
    <col customWidth="1" min="10" max="10" width="10.25"/>
    <col customWidth="1" min="11" max="26" width="8.63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9.25" hidden="1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ht="3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ht="16.5" customHeight="1">
      <c r="A4" s="8" t="s">
        <v>1</v>
      </c>
      <c r="B4" s="8" t="s">
        <v>2</v>
      </c>
      <c r="C4" s="8" t="s">
        <v>3</v>
      </c>
      <c r="D4" s="8" t="s">
        <v>4</v>
      </c>
      <c r="E4" s="9"/>
      <c r="F4" s="9"/>
      <c r="G4" s="9"/>
      <c r="H4" s="8" t="s">
        <v>5</v>
      </c>
      <c r="I4" s="9"/>
      <c r="J4" s="10"/>
    </row>
    <row r="5" ht="16.5" customHeight="1">
      <c r="A5" s="11" t="s">
        <v>6</v>
      </c>
      <c r="B5" s="12" t="s">
        <v>7</v>
      </c>
      <c r="C5" s="13" t="s">
        <v>8</v>
      </c>
      <c r="D5" s="14" t="s">
        <v>9</v>
      </c>
      <c r="E5" s="15"/>
      <c r="F5" s="15"/>
      <c r="G5" s="15"/>
      <c r="H5" s="16">
        <v>45539.0</v>
      </c>
      <c r="I5" s="15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4.5" customHeight="1">
      <c r="A6" s="19"/>
      <c r="B6" s="20"/>
      <c r="C6" s="20"/>
      <c r="D6" s="21"/>
      <c r="E6" s="15"/>
      <c r="F6" s="15"/>
      <c r="G6" s="15"/>
      <c r="H6" s="22"/>
      <c r="I6" s="15"/>
      <c r="J6" s="17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8.75" customHeight="1">
      <c r="A7" s="23" t="s">
        <v>10</v>
      </c>
      <c r="B7" s="2"/>
      <c r="C7" s="2"/>
      <c r="D7" s="3"/>
      <c r="E7" s="24"/>
      <c r="F7" s="25"/>
      <c r="G7" s="25"/>
      <c r="H7" s="25"/>
      <c r="I7" s="25"/>
      <c r="J7" s="17"/>
    </row>
    <row r="8" ht="16.5" customHeight="1">
      <c r="A8" s="26" t="s">
        <v>11</v>
      </c>
      <c r="B8" s="27"/>
      <c r="C8" s="27"/>
      <c r="D8" s="28"/>
      <c r="E8" s="25"/>
      <c r="F8" s="29"/>
      <c r="G8" s="30"/>
      <c r="H8" s="31"/>
      <c r="I8" s="30"/>
      <c r="J8" s="17"/>
    </row>
    <row r="9" ht="16.5" customHeight="1">
      <c r="A9" s="32" t="s">
        <v>12</v>
      </c>
      <c r="B9" s="33" t="s">
        <v>13</v>
      </c>
      <c r="C9" s="34" t="s">
        <v>14</v>
      </c>
      <c r="D9" s="35" t="s">
        <v>15</v>
      </c>
      <c r="E9" s="24"/>
      <c r="F9" s="24"/>
      <c r="G9" s="36" t="s">
        <v>16</v>
      </c>
      <c r="H9" s="2"/>
      <c r="I9" s="3"/>
      <c r="J9" s="37"/>
    </row>
    <row r="10" ht="16.5" customHeight="1">
      <c r="A10" s="38" t="s">
        <v>17</v>
      </c>
      <c r="B10" s="39">
        <v>457.0</v>
      </c>
      <c r="C10" s="40">
        <v>-1.44</v>
      </c>
      <c r="D10" s="41">
        <f t="shared" ref="D10:D12" si="1">B10*C10</f>
        <v>-658.08</v>
      </c>
      <c r="E10" s="42"/>
      <c r="F10" s="42"/>
      <c r="G10" s="43"/>
      <c r="J10" s="17"/>
    </row>
    <row r="11" ht="16.5" customHeight="1">
      <c r="A11" s="44" t="s">
        <v>18</v>
      </c>
      <c r="B11" s="45">
        <v>444.0</v>
      </c>
      <c r="C11" s="46">
        <v>-1.44</v>
      </c>
      <c r="D11" s="47">
        <f t="shared" si="1"/>
        <v>-639.36</v>
      </c>
      <c r="E11" s="42"/>
      <c r="F11" s="42"/>
      <c r="G11" s="43"/>
      <c r="J11" s="17"/>
    </row>
    <row r="12" ht="16.5" customHeight="1">
      <c r="A12" s="48" t="s">
        <v>19</v>
      </c>
      <c r="B12" s="49">
        <v>67.0</v>
      </c>
      <c r="C12" s="50">
        <v>166.75</v>
      </c>
      <c r="D12" s="51">
        <f t="shared" si="1"/>
        <v>11172.25</v>
      </c>
      <c r="E12" s="42"/>
      <c r="F12" s="42"/>
      <c r="J12" s="17"/>
    </row>
    <row r="13" ht="15.75" customHeight="1">
      <c r="A13" s="52" t="s">
        <v>20</v>
      </c>
      <c r="B13" s="53">
        <v>0.0</v>
      </c>
      <c r="C13" s="54">
        <v>0.0</v>
      </c>
      <c r="D13" s="55">
        <f>SUM(C13*B13)</f>
        <v>0</v>
      </c>
      <c r="E13" s="42"/>
      <c r="F13" s="42"/>
      <c r="G13" s="56" t="s">
        <v>21</v>
      </c>
      <c r="H13" s="57"/>
      <c r="I13" s="58"/>
      <c r="J13" s="17"/>
    </row>
    <row r="14" ht="16.5" customHeight="1">
      <c r="A14" s="59" t="s">
        <v>22</v>
      </c>
      <c r="B14" s="60">
        <f>SUM(B10:B13)</f>
        <v>968</v>
      </c>
      <c r="C14" s="61" t="s">
        <v>23</v>
      </c>
      <c r="D14" s="62">
        <f>SUM(D10:D13)</f>
        <v>9874.81</v>
      </c>
      <c r="E14" s="63"/>
      <c r="F14" s="63"/>
      <c r="G14" s="64" t="s">
        <v>24</v>
      </c>
      <c r="H14" s="65"/>
      <c r="I14" s="66"/>
      <c r="J14" s="17"/>
    </row>
    <row r="15" ht="18.75" customHeight="1">
      <c r="A15" s="67" t="s">
        <v>25</v>
      </c>
      <c r="B15" s="65"/>
      <c r="C15" s="66"/>
      <c r="D15" s="68">
        <f>D14/B14</f>
        <v>10.20125</v>
      </c>
      <c r="E15" s="25"/>
      <c r="F15" s="42"/>
      <c r="G15" s="69"/>
      <c r="J15" s="17"/>
    </row>
    <row r="16" ht="16.5" customHeight="1">
      <c r="A16" s="70"/>
      <c r="B16" s="71"/>
      <c r="C16" s="71"/>
      <c r="D16" s="72"/>
      <c r="E16" s="25"/>
      <c r="F16" s="42"/>
      <c r="G16" s="73"/>
      <c r="H16" s="31"/>
      <c r="I16" s="73"/>
      <c r="J16" s="17"/>
    </row>
    <row r="17" ht="16.5" customHeight="1">
      <c r="A17" s="74"/>
      <c r="B17" s="75"/>
      <c r="C17" s="76"/>
      <c r="D17" s="76"/>
      <c r="E17" s="76"/>
      <c r="F17" s="76"/>
      <c r="G17" s="76"/>
      <c r="H17" s="76"/>
      <c r="I17" s="76"/>
      <c r="J17" s="77"/>
      <c r="K17" s="78"/>
    </row>
    <row r="18" ht="3.0" customHeight="1">
      <c r="A18" s="79"/>
      <c r="B18" s="75"/>
      <c r="C18" s="75"/>
      <c r="D18" s="80"/>
      <c r="E18" s="80"/>
      <c r="F18" s="80"/>
      <c r="G18" s="80"/>
      <c r="H18" s="75"/>
      <c r="I18" s="75"/>
      <c r="J18" s="81"/>
    </row>
    <row r="19" ht="16.5" customHeight="1">
      <c r="A19" s="82"/>
      <c r="B19" s="25"/>
      <c r="C19" s="25"/>
      <c r="D19" s="25"/>
      <c r="E19" s="25"/>
      <c r="F19" s="25"/>
      <c r="G19" s="25"/>
      <c r="H19" s="25"/>
      <c r="I19" s="25"/>
      <c r="J19" s="17"/>
    </row>
    <row r="20" ht="16.5" customHeight="1">
      <c r="A20" s="82"/>
      <c r="B20" s="25"/>
      <c r="C20" s="25"/>
      <c r="D20" s="25"/>
      <c r="E20" s="25"/>
      <c r="F20" s="25"/>
      <c r="G20" s="25"/>
      <c r="H20" s="25"/>
      <c r="I20" s="25"/>
      <c r="J20" s="17"/>
    </row>
    <row r="21" ht="15.75" customHeight="1">
      <c r="A21" s="82"/>
      <c r="B21" s="25"/>
      <c r="C21" s="25"/>
      <c r="D21" s="75"/>
      <c r="E21" s="75"/>
      <c r="F21" s="75"/>
      <c r="G21" s="75"/>
      <c r="H21" s="25"/>
      <c r="I21" s="25"/>
      <c r="J21" s="17"/>
    </row>
    <row r="22" ht="29.25" customHeight="1">
      <c r="A22" s="83" t="s">
        <v>26</v>
      </c>
      <c r="C22" s="84"/>
      <c r="D22" s="85">
        <f>H5</f>
        <v>45539</v>
      </c>
      <c r="E22" s="2"/>
      <c r="F22" s="2"/>
      <c r="G22" s="3"/>
      <c r="H22" s="86"/>
      <c r="I22" s="25"/>
      <c r="J22" s="17"/>
    </row>
    <row r="23" ht="16.5" customHeight="1">
      <c r="A23" s="87"/>
      <c r="B23" s="88" t="s">
        <v>27</v>
      </c>
      <c r="C23" s="27"/>
      <c r="D23" s="27"/>
      <c r="E23" s="28"/>
      <c r="F23" s="89"/>
      <c r="G23" s="88" t="s">
        <v>28</v>
      </c>
      <c r="H23" s="27"/>
      <c r="I23" s="27"/>
      <c r="J23" s="28"/>
      <c r="K23" s="90"/>
    </row>
    <row r="24" ht="15.75" customHeight="1">
      <c r="A24" s="91" t="s">
        <v>29</v>
      </c>
      <c r="B24" s="92" t="s">
        <v>30</v>
      </c>
      <c r="C24" s="93" t="s">
        <v>31</v>
      </c>
      <c r="D24" s="94" t="s">
        <v>15</v>
      </c>
      <c r="E24" s="95" t="s">
        <v>32</v>
      </c>
      <c r="F24" s="25"/>
      <c r="G24" s="92" t="s">
        <v>30</v>
      </c>
      <c r="H24" s="93" t="s">
        <v>31</v>
      </c>
      <c r="I24" s="34" t="s">
        <v>15</v>
      </c>
      <c r="J24" s="96" t="s">
        <v>32</v>
      </c>
    </row>
    <row r="25" ht="16.5" customHeight="1">
      <c r="A25" s="97" t="s">
        <v>33</v>
      </c>
      <c r="B25" s="98">
        <f>B14</f>
        <v>968</v>
      </c>
      <c r="C25" s="98">
        <f>D15</f>
        <v>10.20125</v>
      </c>
      <c r="D25" s="99">
        <f>D14</f>
        <v>9874.81</v>
      </c>
      <c r="E25" s="100"/>
      <c r="F25" s="42"/>
      <c r="G25" s="101">
        <f>B14</f>
        <v>968</v>
      </c>
      <c r="H25" s="102">
        <f>D15</f>
        <v>10.20125</v>
      </c>
      <c r="I25" s="102">
        <f>D14</f>
        <v>9874.81</v>
      </c>
      <c r="J25" s="103"/>
      <c r="K25" s="18"/>
      <c r="L25" s="18"/>
      <c r="M25" s="7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6.5" customHeight="1">
      <c r="A26" s="104" t="s">
        <v>34</v>
      </c>
      <c r="B26" s="105">
        <v>90.0</v>
      </c>
      <c r="C26" s="106">
        <v>18.3</v>
      </c>
      <c r="D26" s="107">
        <f t="shared" ref="D26:D29" si="2">B26*C26</f>
        <v>1647</v>
      </c>
      <c r="E26" s="100"/>
      <c r="F26" s="42"/>
      <c r="G26" s="108">
        <v>180.0</v>
      </c>
      <c r="H26" s="106">
        <f t="shared" ref="H26:H29" si="3">C26</f>
        <v>18.3</v>
      </c>
      <c r="I26" s="106">
        <f t="shared" ref="I26:I29" si="4">G26*H26</f>
        <v>3294</v>
      </c>
      <c r="J26" s="103"/>
    </row>
    <row r="27" ht="15.75" customHeight="1">
      <c r="A27" s="104" t="s">
        <v>35</v>
      </c>
      <c r="B27" s="106">
        <v>0.0</v>
      </c>
      <c r="C27" s="106">
        <v>18.3</v>
      </c>
      <c r="D27" s="107">
        <f t="shared" si="2"/>
        <v>0</v>
      </c>
      <c r="E27" s="100"/>
      <c r="F27" s="42"/>
      <c r="G27" s="109">
        <v>0.0</v>
      </c>
      <c r="H27" s="98">
        <f t="shared" si="3"/>
        <v>18.3</v>
      </c>
      <c r="I27" s="98">
        <f t="shared" si="4"/>
        <v>0</v>
      </c>
      <c r="J27" s="110"/>
    </row>
    <row r="28" ht="20.25" customHeight="1">
      <c r="A28" s="104" t="s">
        <v>36</v>
      </c>
      <c r="B28" s="111">
        <v>15.0</v>
      </c>
      <c r="C28" s="106">
        <v>16.5</v>
      </c>
      <c r="D28" s="106">
        <f t="shared" si="2"/>
        <v>247.5</v>
      </c>
      <c r="E28" s="112">
        <v>2.5</v>
      </c>
      <c r="F28" s="42"/>
      <c r="G28" s="113">
        <v>162.0</v>
      </c>
      <c r="H28" s="106">
        <f t="shared" si="3"/>
        <v>16.5</v>
      </c>
      <c r="I28" s="106">
        <f t="shared" si="4"/>
        <v>2673</v>
      </c>
      <c r="J28" s="114">
        <v>27.0</v>
      </c>
    </row>
    <row r="29" ht="16.5" hidden="1" customHeight="1">
      <c r="A29" s="115" t="s">
        <v>37</v>
      </c>
      <c r="B29" s="116">
        <v>0.0</v>
      </c>
      <c r="C29" s="116">
        <v>40.5</v>
      </c>
      <c r="D29" s="117">
        <f t="shared" si="2"/>
        <v>0</v>
      </c>
      <c r="E29" s="100"/>
      <c r="F29" s="42"/>
      <c r="G29" s="118">
        <v>0.0</v>
      </c>
      <c r="H29" s="116">
        <f t="shared" si="3"/>
        <v>40.5</v>
      </c>
      <c r="I29" s="119">
        <f t="shared" si="4"/>
        <v>0</v>
      </c>
      <c r="J29" s="103"/>
      <c r="K29" s="120"/>
    </row>
    <row r="30" ht="16.5" customHeight="1">
      <c r="A30" s="121" t="s">
        <v>38</v>
      </c>
      <c r="B30" s="122">
        <v>0.0</v>
      </c>
      <c r="C30" s="123">
        <v>54.9</v>
      </c>
      <c r="D30" s="124">
        <f>C30*B30</f>
        <v>0</v>
      </c>
      <c r="E30" s="100"/>
      <c r="F30" s="125"/>
      <c r="G30" s="126">
        <v>185.0</v>
      </c>
      <c r="H30" s="123">
        <v>54.9</v>
      </c>
      <c r="I30" s="124">
        <f>H30*G30</f>
        <v>10156.5</v>
      </c>
      <c r="J30" s="103"/>
      <c r="K30" s="120"/>
    </row>
    <row r="31" ht="16.5" customHeight="1">
      <c r="A31" s="127" t="s">
        <v>22</v>
      </c>
      <c r="B31" s="128">
        <f>SUM(B25:B30)</f>
        <v>1073</v>
      </c>
      <c r="C31" s="129" t="s">
        <v>39</v>
      </c>
      <c r="D31" s="130">
        <f>SUM(D25:D30)</f>
        <v>11769.31</v>
      </c>
      <c r="E31" s="131"/>
      <c r="F31" s="42"/>
      <c r="G31" s="132">
        <f>SUM(G25:G30)</f>
        <v>1495</v>
      </c>
      <c r="H31" s="129" t="s">
        <v>40</v>
      </c>
      <c r="I31" s="133">
        <f>SUM(I25:I30)</f>
        <v>25998.31</v>
      </c>
      <c r="J31" s="103"/>
    </row>
    <row r="32" ht="3.75" customHeight="1">
      <c r="A32" s="82"/>
      <c r="B32" s="25"/>
      <c r="C32" s="25"/>
      <c r="D32" s="129"/>
      <c r="E32" s="134"/>
      <c r="F32" s="75"/>
      <c r="G32" s="25"/>
      <c r="H32" s="25"/>
      <c r="I32" s="135"/>
      <c r="J32" s="136"/>
    </row>
    <row r="33" ht="19.5" customHeight="1">
      <c r="A33" s="137" t="s">
        <v>41</v>
      </c>
      <c r="B33" s="2"/>
      <c r="C33" s="138"/>
      <c r="D33" s="139">
        <f>D31/B31</f>
        <v>10.96860205</v>
      </c>
      <c r="E33" s="140" t="s">
        <v>42</v>
      </c>
      <c r="F33" s="80"/>
      <c r="G33" s="141"/>
      <c r="H33" s="142" t="s">
        <v>43</v>
      </c>
      <c r="I33" s="143">
        <f>I31/G31</f>
        <v>17.39017391</v>
      </c>
      <c r="J33" s="144"/>
    </row>
    <row r="34" ht="3.75" customHeight="1">
      <c r="A34" s="145"/>
      <c r="B34" s="146"/>
      <c r="C34" s="146"/>
      <c r="D34" s="147"/>
      <c r="E34" s="148"/>
      <c r="F34" s="148"/>
      <c r="G34" s="148"/>
      <c r="H34" s="149"/>
      <c r="I34" s="150"/>
      <c r="J34" s="144"/>
    </row>
    <row r="35" ht="16.5" customHeight="1">
      <c r="B35" s="25"/>
      <c r="C35" s="25"/>
      <c r="D35" s="25"/>
      <c r="E35" s="25"/>
      <c r="F35" s="25"/>
      <c r="G35" s="25"/>
      <c r="H35" s="25"/>
      <c r="I35" s="25"/>
      <c r="J35" s="25"/>
    </row>
    <row r="36" ht="16.5" customHeight="1">
      <c r="B36" s="25"/>
      <c r="C36" s="25"/>
      <c r="D36" s="25"/>
      <c r="E36" s="25"/>
      <c r="F36" s="25"/>
      <c r="G36" s="25"/>
      <c r="H36" s="25"/>
      <c r="I36" s="25"/>
      <c r="J36" s="25"/>
    </row>
    <row r="37" ht="16.5" customHeight="1">
      <c r="A37" s="151"/>
      <c r="B37" s="152" t="s">
        <v>44</v>
      </c>
      <c r="C37" s="2"/>
      <c r="D37" s="2"/>
      <c r="E37" s="3"/>
      <c r="F37" s="25"/>
      <c r="G37" s="25"/>
      <c r="H37" s="25"/>
      <c r="I37" s="25"/>
      <c r="J37" s="25"/>
    </row>
    <row r="38" ht="12.75" customHeight="1">
      <c r="A38" s="25"/>
      <c r="B38" s="25"/>
      <c r="C38" s="25"/>
      <c r="D38" s="25"/>
      <c r="E38" s="24"/>
      <c r="F38" s="25"/>
      <c r="G38" s="25"/>
      <c r="H38" s="153"/>
      <c r="I38" s="25"/>
      <c r="J38" s="25"/>
    </row>
    <row r="39" ht="12.75" customHeight="1">
      <c r="J39" s="120"/>
    </row>
    <row r="40" ht="12.75" customHeight="1">
      <c r="I40" s="154"/>
    </row>
    <row r="41" ht="12.75" customHeight="1">
      <c r="A41" s="155" t="s">
        <v>45</v>
      </c>
      <c r="G41" s="156"/>
    </row>
    <row r="42" ht="12.75" customHeight="1">
      <c r="B42" s="18"/>
    </row>
    <row r="43" ht="12.75" customHeight="1"/>
    <row r="44" ht="12.75" customHeight="1">
      <c r="I44" s="157" t="s">
        <v>46</v>
      </c>
      <c r="J44" s="157" t="s">
        <v>47</v>
      </c>
      <c r="K44" s="157" t="s">
        <v>48</v>
      </c>
      <c r="L44" s="157" t="s">
        <v>49</v>
      </c>
      <c r="M44" s="157" t="s">
        <v>50</v>
      </c>
    </row>
    <row r="45" ht="12.75" customHeight="1">
      <c r="G45" s="158" t="s">
        <v>51</v>
      </c>
      <c r="H45" s="158" t="s">
        <v>52</v>
      </c>
      <c r="I45" s="157">
        <v>18.3</v>
      </c>
      <c r="J45" s="157">
        <v>18.3</v>
      </c>
      <c r="K45" s="157">
        <v>16.5</v>
      </c>
      <c r="L45" s="157">
        <v>54.9</v>
      </c>
      <c r="N45" s="157" t="s">
        <v>53</v>
      </c>
    </row>
    <row r="46" ht="12.75" customHeight="1">
      <c r="G46" s="159">
        <f t="shared" ref="G46:G49" si="5">I46*$I$45+J46*$J$45+K46*$K$45+L46*$L$45+9875</f>
        <v>9875</v>
      </c>
      <c r="H46" s="160">
        <f t="shared" ref="H46:H49" si="6">sum(I46:L46)+968</f>
        <v>968</v>
      </c>
      <c r="I46" s="157">
        <v>0.0</v>
      </c>
      <c r="J46" s="157">
        <v>0.0</v>
      </c>
      <c r="K46" s="157">
        <v>0.0</v>
      </c>
      <c r="L46" s="157">
        <v>0.0</v>
      </c>
      <c r="N46" s="161">
        <f t="shared" ref="N46:N49" si="7">G46/H46</f>
        <v>10.20144628</v>
      </c>
    </row>
    <row r="47" ht="12.75" customHeight="1">
      <c r="G47" s="159">
        <f t="shared" si="5"/>
        <v>20031.5</v>
      </c>
      <c r="H47" s="160">
        <f t="shared" si="6"/>
        <v>1153</v>
      </c>
      <c r="I47" s="157">
        <v>0.0</v>
      </c>
      <c r="J47" s="157">
        <v>0.0</v>
      </c>
      <c r="K47" s="157">
        <v>0.0</v>
      </c>
      <c r="L47" s="157">
        <v>185.0</v>
      </c>
      <c r="N47" s="161">
        <f t="shared" si="7"/>
        <v>17.37337381</v>
      </c>
    </row>
    <row r="48" ht="12.75" customHeight="1">
      <c r="G48" s="159">
        <f t="shared" si="5"/>
        <v>20234</v>
      </c>
      <c r="H48" s="160">
        <f t="shared" si="6"/>
        <v>1550</v>
      </c>
      <c r="I48" s="157">
        <v>210.0</v>
      </c>
      <c r="J48" s="157">
        <v>210.0</v>
      </c>
      <c r="K48" s="157">
        <v>162.0</v>
      </c>
      <c r="L48" s="157">
        <v>0.0</v>
      </c>
      <c r="N48" s="161">
        <f t="shared" si="7"/>
        <v>13.05419355</v>
      </c>
    </row>
    <row r="49" ht="12.75" customHeight="1">
      <c r="G49" s="159">
        <f t="shared" si="5"/>
        <v>26950.1</v>
      </c>
      <c r="H49" s="160">
        <f t="shared" si="6"/>
        <v>1549</v>
      </c>
      <c r="I49" s="157">
        <v>235.0</v>
      </c>
      <c r="J49" s="157">
        <v>0.0</v>
      </c>
      <c r="K49" s="157">
        <v>162.0</v>
      </c>
      <c r="L49" s="157">
        <v>184.0</v>
      </c>
      <c r="N49" s="161">
        <f t="shared" si="7"/>
        <v>17.39838606</v>
      </c>
    </row>
    <row r="50" ht="12.75" customHeight="1"/>
    <row r="51" ht="12.75" customHeight="1"/>
    <row r="52" ht="12.75" customHeight="1">
      <c r="G52" s="162">
        <f t="shared" ref="G52:G57" si="8">I52*$I$45+J52*$J$45+K52*$K$45+L52*$L$45+9875</f>
        <v>14195</v>
      </c>
      <c r="H52" s="160">
        <f t="shared" ref="H52:H57" si="9">sum(I52:L52)+968</f>
        <v>1220</v>
      </c>
      <c r="I52" s="157">
        <v>90.0</v>
      </c>
      <c r="J52" s="157">
        <v>0.0</v>
      </c>
      <c r="K52" s="157">
        <v>162.0</v>
      </c>
      <c r="L52" s="157">
        <v>0.0</v>
      </c>
      <c r="N52" s="161">
        <f t="shared" ref="N52:N57" si="10">G52/H52</f>
        <v>11.6352459</v>
      </c>
    </row>
    <row r="53" ht="12.75" customHeight="1">
      <c r="G53" s="162">
        <f t="shared" si="8"/>
        <v>11769.5</v>
      </c>
      <c r="H53" s="160">
        <f t="shared" si="9"/>
        <v>1073</v>
      </c>
      <c r="I53" s="157">
        <v>90.0</v>
      </c>
      <c r="J53" s="157">
        <v>0.0</v>
      </c>
      <c r="K53" s="157">
        <v>15.0</v>
      </c>
      <c r="L53" s="157">
        <v>0.0</v>
      </c>
      <c r="N53" s="161">
        <f t="shared" si="10"/>
        <v>10.96877912</v>
      </c>
    </row>
    <row r="54" ht="12.75" customHeight="1">
      <c r="G54" s="162">
        <f t="shared" si="8"/>
        <v>23637.8</v>
      </c>
      <c r="H54" s="160">
        <f t="shared" si="9"/>
        <v>1392</v>
      </c>
      <c r="I54" s="157">
        <v>90.0</v>
      </c>
      <c r="J54" s="157">
        <v>0.0</v>
      </c>
      <c r="K54" s="157">
        <v>162.0</v>
      </c>
      <c r="L54" s="157">
        <v>172.0</v>
      </c>
      <c r="N54" s="161">
        <f t="shared" si="10"/>
        <v>16.98117816</v>
      </c>
    </row>
    <row r="55" ht="12.75" customHeight="1">
      <c r="G55" s="162">
        <f t="shared" si="8"/>
        <v>21212.3</v>
      </c>
      <c r="H55" s="160">
        <f t="shared" si="9"/>
        <v>1245</v>
      </c>
      <c r="I55" s="157">
        <v>90.0</v>
      </c>
      <c r="J55" s="157">
        <v>0.0</v>
      </c>
      <c r="K55" s="157">
        <v>15.0</v>
      </c>
      <c r="L55" s="157">
        <v>172.0</v>
      </c>
      <c r="N55" s="161">
        <f t="shared" si="10"/>
        <v>17.03799197</v>
      </c>
    </row>
    <row r="56" ht="12.75" customHeight="1">
      <c r="G56" s="162">
        <f t="shared" si="8"/>
        <v>15842</v>
      </c>
      <c r="H56" s="160">
        <f t="shared" si="9"/>
        <v>1310</v>
      </c>
      <c r="I56" s="157">
        <v>180.0</v>
      </c>
      <c r="J56" s="157">
        <v>0.0</v>
      </c>
      <c r="K56" s="157">
        <v>162.0</v>
      </c>
      <c r="L56" s="157">
        <v>0.0</v>
      </c>
      <c r="N56" s="161">
        <f t="shared" si="10"/>
        <v>12.09312977</v>
      </c>
    </row>
    <row r="57" ht="12.75" customHeight="1">
      <c r="G57" s="162">
        <f t="shared" si="8"/>
        <v>13416.5</v>
      </c>
      <c r="H57" s="160">
        <f t="shared" si="9"/>
        <v>1163</v>
      </c>
      <c r="I57" s="157">
        <v>180.0</v>
      </c>
      <c r="J57" s="157">
        <v>0.0</v>
      </c>
      <c r="K57" s="157">
        <v>15.0</v>
      </c>
      <c r="L57" s="157">
        <v>0.0</v>
      </c>
      <c r="N57" s="161">
        <f t="shared" si="10"/>
        <v>11.5361135</v>
      </c>
    </row>
    <row r="58" ht="12.75" customHeight="1"/>
    <row r="59" ht="12.75" customHeight="1">
      <c r="G59" s="162">
        <f t="shared" ref="G59:G71" si="11">I59*$I$45+J59*$J$45+K59*$K$45+L59*$L$45+9875</f>
        <v>17808.5</v>
      </c>
      <c r="H59" s="160">
        <f t="shared" ref="H59:H71" si="12">sum(I59:L59)+968</f>
        <v>1403</v>
      </c>
      <c r="I59" s="157">
        <v>210.0</v>
      </c>
      <c r="J59" s="157">
        <v>210.0</v>
      </c>
      <c r="K59" s="157">
        <v>15.0</v>
      </c>
      <c r="L59" s="157">
        <v>0.0</v>
      </c>
      <c r="N59" s="161">
        <f t="shared" ref="N59:N71" si="13">G59/H59</f>
        <v>12.69315752</v>
      </c>
    </row>
    <row r="60" ht="12.75" customHeight="1">
      <c r="G60" s="162">
        <f t="shared" si="11"/>
        <v>22430</v>
      </c>
      <c r="H60" s="160">
        <f t="shared" si="12"/>
        <v>1550</v>
      </c>
      <c r="I60" s="157">
        <v>180.0</v>
      </c>
      <c r="J60" s="157">
        <v>180.0</v>
      </c>
      <c r="K60" s="157">
        <v>162.0</v>
      </c>
      <c r="L60" s="157">
        <v>60.0</v>
      </c>
      <c r="N60" s="161">
        <f t="shared" si="13"/>
        <v>14.47096774</v>
      </c>
    </row>
    <row r="61" ht="12.75" customHeight="1">
      <c r="G61" s="162">
        <f t="shared" si="11"/>
        <v>20004.5</v>
      </c>
      <c r="H61" s="160">
        <f t="shared" si="12"/>
        <v>1403</v>
      </c>
      <c r="I61" s="157">
        <v>180.0</v>
      </c>
      <c r="J61" s="157">
        <v>180.0</v>
      </c>
      <c r="K61" s="157">
        <v>15.0</v>
      </c>
      <c r="L61" s="157">
        <v>60.0</v>
      </c>
      <c r="N61" s="161">
        <f t="shared" si="13"/>
        <v>14.25837491</v>
      </c>
    </row>
    <row r="62" ht="12.75" customHeight="1">
      <c r="G62" s="162">
        <f t="shared" si="11"/>
        <v>21332</v>
      </c>
      <c r="H62" s="160">
        <f t="shared" si="12"/>
        <v>1510</v>
      </c>
      <c r="I62" s="157">
        <v>180.0</v>
      </c>
      <c r="J62" s="157">
        <v>150.0</v>
      </c>
      <c r="K62" s="157">
        <v>162.0</v>
      </c>
      <c r="L62" s="157">
        <v>50.0</v>
      </c>
      <c r="N62" s="161">
        <f t="shared" si="13"/>
        <v>14.12715232</v>
      </c>
    </row>
    <row r="63" ht="12.75" customHeight="1">
      <c r="G63" s="162">
        <f t="shared" si="11"/>
        <v>22475</v>
      </c>
      <c r="H63" s="160">
        <f t="shared" si="12"/>
        <v>1328</v>
      </c>
      <c r="I63" s="157">
        <v>180.0</v>
      </c>
      <c r="J63" s="157">
        <v>0.0</v>
      </c>
      <c r="K63" s="157">
        <v>15.0</v>
      </c>
      <c r="L63" s="157">
        <v>165.0</v>
      </c>
      <c r="N63" s="161">
        <f t="shared" si="13"/>
        <v>16.92394578</v>
      </c>
    </row>
    <row r="64" ht="12.75" customHeight="1">
      <c r="G64" s="162">
        <f t="shared" si="11"/>
        <v>22786.1</v>
      </c>
      <c r="H64" s="160">
        <f t="shared" si="12"/>
        <v>1347</v>
      </c>
      <c r="I64" s="157">
        <v>200.0</v>
      </c>
      <c r="J64" s="157">
        <v>0.0</v>
      </c>
      <c r="K64" s="157">
        <v>15.0</v>
      </c>
      <c r="L64" s="157">
        <v>164.0</v>
      </c>
      <c r="N64" s="161">
        <f t="shared" si="13"/>
        <v>16.91618411</v>
      </c>
    </row>
    <row r="65" ht="12.75" customHeight="1">
      <c r="G65" s="162">
        <f t="shared" si="11"/>
        <v>22932.5</v>
      </c>
      <c r="H65" s="160">
        <f t="shared" si="12"/>
        <v>1403</v>
      </c>
      <c r="I65" s="157">
        <v>140.0</v>
      </c>
      <c r="J65" s="157">
        <v>140.0</v>
      </c>
      <c r="K65" s="157">
        <v>15.0</v>
      </c>
      <c r="L65" s="157">
        <v>140.0</v>
      </c>
      <c r="N65" s="161">
        <f t="shared" si="13"/>
        <v>16.34533143</v>
      </c>
    </row>
    <row r="66" ht="12.75" customHeight="1">
      <c r="G66" s="162">
        <f t="shared" si="11"/>
        <v>23664.5</v>
      </c>
      <c r="H66" s="160">
        <f t="shared" si="12"/>
        <v>1403</v>
      </c>
      <c r="I66" s="157">
        <v>130.0</v>
      </c>
      <c r="J66" s="157">
        <v>130.0</v>
      </c>
      <c r="K66" s="157">
        <v>15.0</v>
      </c>
      <c r="L66" s="157">
        <v>160.0</v>
      </c>
      <c r="N66" s="161">
        <f t="shared" si="13"/>
        <v>16.86707056</v>
      </c>
    </row>
    <row r="67" ht="12.75" customHeight="1">
      <c r="G67" s="162">
        <f t="shared" si="11"/>
        <v>23847.5</v>
      </c>
      <c r="H67" s="160">
        <f t="shared" si="12"/>
        <v>1413</v>
      </c>
      <c r="I67" s="157">
        <v>135.0</v>
      </c>
      <c r="J67" s="157">
        <v>135.0</v>
      </c>
      <c r="K67" s="157">
        <v>15.0</v>
      </c>
      <c r="L67" s="157">
        <v>160.0</v>
      </c>
      <c r="N67" s="161">
        <f t="shared" si="13"/>
        <v>16.87721161</v>
      </c>
    </row>
    <row r="68" ht="12.75" customHeight="1">
      <c r="G68" s="162">
        <f t="shared" si="11"/>
        <v>23894</v>
      </c>
      <c r="H68" s="160">
        <f t="shared" si="12"/>
        <v>1550</v>
      </c>
      <c r="I68" s="157">
        <v>160.0</v>
      </c>
      <c r="J68" s="157">
        <v>160.0</v>
      </c>
      <c r="K68" s="157">
        <v>162.0</v>
      </c>
      <c r="L68" s="157">
        <v>100.0</v>
      </c>
      <c r="N68" s="161">
        <f t="shared" si="13"/>
        <v>15.41548387</v>
      </c>
    </row>
    <row r="69" ht="12.75" customHeight="1">
      <c r="G69" s="162">
        <f t="shared" si="11"/>
        <v>24516.2</v>
      </c>
      <c r="H69" s="160">
        <f t="shared" si="12"/>
        <v>1448</v>
      </c>
      <c r="I69" s="157">
        <v>150.0</v>
      </c>
      <c r="J69" s="157">
        <v>0.0</v>
      </c>
      <c r="K69" s="157">
        <v>162.0</v>
      </c>
      <c r="L69" s="157">
        <v>168.0</v>
      </c>
      <c r="N69" s="161">
        <f t="shared" si="13"/>
        <v>16.93107735</v>
      </c>
    </row>
    <row r="70" ht="12.75" customHeight="1">
      <c r="G70" s="162">
        <f t="shared" si="11"/>
        <v>24900.5</v>
      </c>
      <c r="H70" s="160">
        <f t="shared" si="12"/>
        <v>1475</v>
      </c>
      <c r="I70" s="157">
        <v>180.0</v>
      </c>
      <c r="J70" s="157">
        <v>0.0</v>
      </c>
      <c r="K70" s="157">
        <v>162.0</v>
      </c>
      <c r="L70" s="157">
        <v>165.0</v>
      </c>
      <c r="N70" s="161">
        <f t="shared" si="13"/>
        <v>16.88169492</v>
      </c>
    </row>
    <row r="71" ht="12.75" customHeight="1">
      <c r="G71" s="162">
        <f t="shared" si="11"/>
        <v>25211.6</v>
      </c>
      <c r="H71" s="160">
        <f t="shared" si="12"/>
        <v>1494</v>
      </c>
      <c r="I71" s="157">
        <v>200.0</v>
      </c>
      <c r="J71" s="157">
        <v>0.0</v>
      </c>
      <c r="K71" s="157">
        <v>162.0</v>
      </c>
      <c r="L71" s="157">
        <v>164.0</v>
      </c>
      <c r="N71" s="161">
        <f t="shared" si="13"/>
        <v>16.87523427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16">
    <mergeCell ref="A1:J1"/>
    <mergeCell ref="A7:D7"/>
    <mergeCell ref="A8:D8"/>
    <mergeCell ref="G9:I9"/>
    <mergeCell ref="G10:I10"/>
    <mergeCell ref="G11:I11"/>
    <mergeCell ref="G13:I13"/>
    <mergeCell ref="A33:C33"/>
    <mergeCell ref="B37:E37"/>
    <mergeCell ref="G14:I14"/>
    <mergeCell ref="A15:C15"/>
    <mergeCell ref="G15:I15"/>
    <mergeCell ref="A22:C22"/>
    <mergeCell ref="D22:G22"/>
    <mergeCell ref="B23:E23"/>
    <mergeCell ref="G23:J23"/>
  </mergeCells>
  <printOptions/>
  <pageMargins bottom="1.0" footer="0.0" header="0.0" left="0.5" right="0.5" top="0.5"/>
  <pageSetup orientation="landscape"/>
  <drawing r:id="rId1"/>
</worksheet>
</file>